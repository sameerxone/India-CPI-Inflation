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mee\Downloads\"/>
    </mc:Choice>
  </mc:AlternateContent>
  <bookViews>
    <workbookView xWindow="-110" yWindow="-110" windowWidth="23260" windowHeight="13180"/>
  </bookViews>
  <sheets>
    <sheet name="Story Boarding" sheetId="3" r:id="rId1"/>
    <sheet name="Dashboard" sheetId="5" r:id="rId2"/>
    <sheet name="Cleaned Data" sheetId="2" r:id="rId3"/>
  </sheets>
  <definedNames>
    <definedName name="_xlnm._FilterDatabase" localSheetId="2" hidden="1">'Cleaned Data'!$A$1:$AH$373</definedName>
    <definedName name="_xlchart.v1.0" hidden="1">'Story Boarding'!$D$106:$D$117</definedName>
    <definedName name="_xlchart.v1.1" hidden="1">'Story Boarding'!$E$105</definedName>
    <definedName name="_xlchart.v1.2" hidden="1">'Story Boarding'!$E$106:$E$117</definedName>
    <definedName name="_xlchart.v1.3" hidden="1">'Story Boarding'!$D$106:$D$117</definedName>
    <definedName name="_xlchart.v1.4" hidden="1">'Story Boarding'!$E$105</definedName>
    <definedName name="_xlchart.v1.5" hidden="1">'Story Boarding'!$E$106:$E$117</definedName>
    <definedName name="Slicer_Month">#N/A</definedName>
    <definedName name="Slicer_Month1">#N/A</definedName>
    <definedName name="Slicer_Sector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C7" i="3"/>
  <c r="D7" i="3"/>
  <c r="E7" i="3"/>
  <c r="F7" i="3"/>
  <c r="G7" i="3"/>
  <c r="H7" i="3"/>
  <c r="I7" i="3"/>
  <c r="A7" i="3"/>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2" i="2"/>
  <c r="P2" i="2" l="1"/>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C155" i="3"/>
  <c r="D155" i="3"/>
  <c r="E155" i="3"/>
  <c r="F155" i="3"/>
  <c r="G155" i="3"/>
  <c r="H155" i="3"/>
  <c r="I155" i="3"/>
  <c r="J155" i="3"/>
  <c r="K155" i="3"/>
  <c r="L155" i="3"/>
  <c r="M155" i="3"/>
  <c r="B155" i="3"/>
  <c r="C154" i="3"/>
  <c r="D154" i="3"/>
  <c r="E154" i="3"/>
  <c r="F154" i="3"/>
  <c r="G154" i="3"/>
  <c r="H154" i="3"/>
  <c r="I154" i="3"/>
  <c r="J154" i="3"/>
  <c r="K154" i="3"/>
  <c r="L154" i="3"/>
  <c r="M154" i="3"/>
  <c r="B154" i="3"/>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<sst xmlns="http://schemas.openxmlformats.org/spreadsheetml/2006/main" count="1154" uniqueCount="192">
  <si>
    <t>Year</t>
  </si>
  <si>
    <t>Average of Pan, tobacco and intoxicants</t>
  </si>
  <si>
    <t>Average of Fuel and light</t>
  </si>
  <si>
    <t>Average of Housing</t>
  </si>
  <si>
    <t>Problem Statement</t>
  </si>
  <si>
    <t>Sector</t>
  </si>
  <si>
    <t>Rural+Urban</t>
  </si>
  <si>
    <t>Row Labels</t>
  </si>
  <si>
    <t>Grand Total</t>
  </si>
  <si>
    <t>Reason for inflation according to the research</t>
  </si>
  <si>
    <t>The COVID-19 pandemic caused supply chain issues, which led to backlogs of work orders for goods and services , and the rise in inflation is mostly driven by food inflation.</t>
  </si>
  <si>
    <t>January</t>
  </si>
  <si>
    <t>Month</t>
  </si>
  <si>
    <t>Inflation</t>
  </si>
  <si>
    <t>February</t>
  </si>
  <si>
    <t>Highest Inflation</t>
  </si>
  <si>
    <t>May-jun 22</t>
  </si>
  <si>
    <t>March</t>
  </si>
  <si>
    <t>June-july 22</t>
  </si>
  <si>
    <t>April</t>
  </si>
  <si>
    <t>July-Aug 22</t>
  </si>
  <si>
    <t>May</t>
  </si>
  <si>
    <t>Aug-Sept 22</t>
  </si>
  <si>
    <t>June</t>
  </si>
  <si>
    <t>Sept-Oct 22</t>
  </si>
  <si>
    <t>July</t>
  </si>
  <si>
    <t>Oct-Nov 22</t>
  </si>
  <si>
    <t>August</t>
  </si>
  <si>
    <t>Nov-Dec 22</t>
  </si>
  <si>
    <t>September</t>
  </si>
  <si>
    <t>Dec-Jan 22-23</t>
  </si>
  <si>
    <t>October</t>
  </si>
  <si>
    <t>Jan-Feb 23</t>
  </si>
  <si>
    <t>November</t>
  </si>
  <si>
    <t>Feb-March 23</t>
  </si>
  <si>
    <t>December</t>
  </si>
  <si>
    <t>Mar-Apr 23</t>
  </si>
  <si>
    <t>Apr-May 23</t>
  </si>
  <si>
    <t>Average of Cereals and products</t>
  </si>
  <si>
    <t>Average of Meat and fish</t>
  </si>
  <si>
    <t>Average of Egg</t>
  </si>
  <si>
    <t>Average of Milk and products</t>
  </si>
  <si>
    <t>Average of Oils and fats</t>
  </si>
  <si>
    <t>Average of Fruits</t>
  </si>
  <si>
    <t>Average of Vegetables</t>
  </si>
  <si>
    <t>Average of Sugar and Confectionery</t>
  </si>
  <si>
    <t>Average of Pulses and products</t>
  </si>
  <si>
    <t>Average of Spices</t>
  </si>
  <si>
    <t>Average of Non-alcoholic beverages</t>
  </si>
  <si>
    <t>Inflation of Cereals and products</t>
  </si>
  <si>
    <t>Inflation of Meat and fish</t>
  </si>
  <si>
    <t>Inflation of Egg</t>
  </si>
  <si>
    <t>Inflation of Milk and products</t>
  </si>
  <si>
    <t>Inflation of Oils and fats</t>
  </si>
  <si>
    <t>Inflation of Fruits</t>
  </si>
  <si>
    <t>Inflation of Vegetables</t>
  </si>
  <si>
    <t>Inflation of Sugar and Confectionery</t>
  </si>
  <si>
    <t>Inflation of Pulses and products</t>
  </si>
  <si>
    <t>Inflation of Spices</t>
  </si>
  <si>
    <t>Inflation of Prepared meals, sncks, sweets etc.</t>
  </si>
  <si>
    <t>Food Category</t>
  </si>
  <si>
    <t>Cereals and products</t>
  </si>
  <si>
    <t>Meat and fish</t>
  </si>
  <si>
    <t>Egg</t>
  </si>
  <si>
    <t>Milk and products</t>
  </si>
  <si>
    <t>Oils and fats</t>
  </si>
  <si>
    <t>Fruits</t>
  </si>
  <si>
    <t>Vegetables</t>
  </si>
  <si>
    <t>Sugar and Confectionery</t>
  </si>
  <si>
    <t>Pulses and products</t>
  </si>
  <si>
    <t>Spices</t>
  </si>
  <si>
    <t>Biggest Contributor</t>
  </si>
  <si>
    <t>Non-alcoholic beverages</t>
  </si>
  <si>
    <t>Prepared meals, snacks, sweets etc.</t>
  </si>
  <si>
    <t>Average of Health</t>
  </si>
  <si>
    <t>Average of Household goods and services</t>
  </si>
  <si>
    <t>Average of Transport and communication</t>
  </si>
  <si>
    <t>Average of Education</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</si>
  <si>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</si>
  <si>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</si>
  <si>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</si>
  <si>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</si>
  <si>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</si>
  <si>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</si>
  <si>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</si>
  <si>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</si>
  <si>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</si>
  <si>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</si>
  <si>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</si>
  <si>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</si>
  <si>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</si>
  <si>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</si>
  <si>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</si>
  <si>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</si>
  <si>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Urban</t>
  </si>
  <si>
    <t>128..5</t>
  </si>
  <si>
    <t>Foods</t>
  </si>
  <si>
    <t>Average of Foods</t>
  </si>
  <si>
    <t>2017-18</t>
  </si>
  <si>
    <t>2018-19</t>
  </si>
  <si>
    <t>2019-20</t>
  </si>
  <si>
    <t>2020-21</t>
  </si>
  <si>
    <t>2022-23</t>
  </si>
  <si>
    <t>2021-22</t>
  </si>
  <si>
    <t>Y-O-Y</t>
  </si>
  <si>
    <t>Yearly  Inflation</t>
  </si>
  <si>
    <t>M-O-M</t>
  </si>
  <si>
    <t>Monthly Inflation</t>
  </si>
  <si>
    <t>Highest Food Inflation</t>
  </si>
  <si>
    <t>Lowest Food Inflation</t>
  </si>
  <si>
    <t>Average of Prepared meals, snacks, sweets etc.</t>
  </si>
  <si>
    <t>Prepared meals, sncks, sweets etc.</t>
  </si>
  <si>
    <t>Spices are the biggest contributor in Food Inflation in the latest 12 Months period.</t>
  </si>
  <si>
    <t>Inflation of Foods</t>
  </si>
  <si>
    <t>Inflation of Health</t>
  </si>
  <si>
    <t>Average</t>
  </si>
  <si>
    <t>Luxury</t>
  </si>
  <si>
    <t>Clothings</t>
  </si>
  <si>
    <t>Housing Goods</t>
  </si>
  <si>
    <t>Average of Miscellaneous</t>
  </si>
  <si>
    <t>Average of Clothings</t>
  </si>
  <si>
    <t>Average of Housing Goods</t>
  </si>
  <si>
    <t>Average of Luxury</t>
  </si>
  <si>
    <t>CPI Contribution for different broader categories</t>
  </si>
  <si>
    <t>2019-2020(Mar)</t>
  </si>
  <si>
    <t>2020-2021(Mar)</t>
  </si>
  <si>
    <t>We can see that 2020-21 has the highest inflation rate</t>
  </si>
  <si>
    <t>Sum of Foods</t>
  </si>
  <si>
    <t>Sum of Luxury</t>
  </si>
  <si>
    <t>Sum of Clothings</t>
  </si>
  <si>
    <t>Sum of Housing Goods</t>
  </si>
  <si>
    <t>Sum of Fuel and light</t>
  </si>
  <si>
    <t>Sum of Health</t>
  </si>
  <si>
    <t>Sum of Transport and communication</t>
  </si>
  <si>
    <t>Sum of Education</t>
  </si>
  <si>
    <t>Sum of Miscellaneous</t>
  </si>
  <si>
    <t>Sum of General index</t>
  </si>
  <si>
    <t xml:space="preserve"> </t>
  </si>
  <si>
    <t>We can see that Highest Food Inflation is in month May-Jun 22 and Lowest Food Inflation is in month Nov-Dec 22</t>
  </si>
  <si>
    <t>Average of Food and beverages</t>
  </si>
  <si>
    <t>Inflation of Food and beverages</t>
  </si>
  <si>
    <t>Food and Beverages</t>
  </si>
  <si>
    <t>Months</t>
  </si>
  <si>
    <t>Total Imports</t>
  </si>
  <si>
    <t>Average of Personal care and effects</t>
  </si>
  <si>
    <t>Average of Recreation and amusement</t>
  </si>
  <si>
    <t>Average of Footwear</t>
  </si>
  <si>
    <t>Average of Clothing</t>
  </si>
  <si>
    <t>Correlation</t>
  </si>
  <si>
    <t>Categories</t>
  </si>
  <si>
    <t xml:space="preserve"> Cereals and products</t>
  </si>
  <si>
    <t xml:space="preserve"> Fuel and light</t>
  </si>
  <si>
    <t xml:space="preserve"> Housing</t>
  </si>
  <si>
    <t xml:space="preserve"> Meat and fish</t>
  </si>
  <si>
    <t xml:space="preserve"> Egg</t>
  </si>
  <si>
    <t xml:space="preserve"> Milk and products</t>
  </si>
  <si>
    <t xml:space="preserve"> Oils and fats</t>
  </si>
  <si>
    <t xml:space="preserve"> Fruits</t>
  </si>
  <si>
    <t xml:space="preserve"> Vegetables</t>
  </si>
  <si>
    <t xml:space="preserve"> Pulses and products</t>
  </si>
  <si>
    <t xml:space="preserve"> Sugar and Confectionery</t>
  </si>
  <si>
    <t xml:space="preserve"> Spices</t>
  </si>
  <si>
    <t xml:space="preserve"> Non-alcoholic beverages</t>
  </si>
  <si>
    <t xml:space="preserve"> Prepared meals, snacks, sweets etc.</t>
  </si>
  <si>
    <t xml:space="preserve"> Food and beverages</t>
  </si>
  <si>
    <t xml:space="preserve"> Pan, tobacco and intoxicants</t>
  </si>
  <si>
    <t xml:space="preserve"> Clothing</t>
  </si>
  <si>
    <t xml:space="preserve"> Footwear</t>
  </si>
  <si>
    <t xml:space="preserve"> Household goods and services</t>
  </si>
  <si>
    <t xml:space="preserve"> Health</t>
  </si>
  <si>
    <t xml:space="preserve"> Transport and communication</t>
  </si>
  <si>
    <t xml:space="preserve"> Recreation and amusement</t>
  </si>
  <si>
    <t xml:space="preserve"> Education</t>
  </si>
  <si>
    <t xml:space="preserve"> Personal care and effects</t>
  </si>
  <si>
    <t xml:space="preserve"> Miscellaneous</t>
  </si>
  <si>
    <t>YEAR 2021</t>
  </si>
  <si>
    <t>YEAR 2022</t>
  </si>
  <si>
    <t>YEAR 2023</t>
  </si>
  <si>
    <t>Essential Services</t>
  </si>
  <si>
    <t>Average of Essential Services</t>
  </si>
  <si>
    <t>Essential Services1</t>
  </si>
  <si>
    <t>Inflation of Essential Services</t>
  </si>
  <si>
    <t>With the help of Line Chart, We can see that there is an impact on Healthcare, Food and Essential Services after Covid outbreak. Covid had a huge impact on inflation.We can see that there is a rise in health and essential services inflation% but decrease in food inflation.</t>
  </si>
  <si>
    <t>After using correl function we can see the correlation between import crude oil products and all other categories for years 2021,2022 and 2023(May).For year 2021,2022 egg correlation was very low but in 2023 there is a sudden increase in it and same goes for Oil and Fats and more fluctuations are there we can see.</t>
  </si>
  <si>
    <t>CPI Contribution for food is highest in the Inflation basket around 46%</t>
  </si>
  <si>
    <t>CPI INFLATION DASHBOARD</t>
  </si>
  <si>
    <t xml:space="preserve"> Foods</t>
  </si>
  <si>
    <t xml:space="preserve"> Luxury</t>
  </si>
  <si>
    <t xml:space="preserve"> Clothings</t>
  </si>
  <si>
    <t xml:space="preserve"> Housing Goods</t>
  </si>
  <si>
    <t>After using correl function we can see the correlation between import crude oil products and all other categories for years 2021,2022 and 2023(May).</t>
  </si>
  <si>
    <t>For year 2021,2022 egg correlation was very low but in 2023 there is a sudden increase in it and same goes for Oil and Fats and more fluctuations are there we can 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</si>
</sst>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0"/>
    <numFmt numFmtId="166" formatCode="0.0000"/>
  </numFmts>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
      <b/>
      <sz val="16"/>
      <color theme="1"/>
      <name val="Aptos Narrow"/>
      <family val="2"/>
      <scheme val="minor"/>
    </font>
    <font>
      <sz val="10"/>
      <name val="Arial"/>
      <family val="2"/>
    </font>
    <font>
      <sz val="12"/>
      <name val="Arial"/>
      <family val="2"/>
    </font>
    <font>
      <b/>
      <sz val="18"/>
      <color theme="1"/>
      <name val="Aptos Narrow"/>
      <family val="2"/>
      <scheme val="minor"/>
    </font>
    <font>
      <b/>
      <sz val="13"/>
      <color theme="1"/>
      <name val="Aptos Narrow"/>
      <family val="2"/>
      <scheme val="minor"/>
    </font>
    <font>
      <sz val="11"/>
      <color theme="1"/>
      <name val="Elephant"/>
      <family val="1"/>
    </font>
    <font>
      <b/>
      <sz val="20"/>
      <color theme="1"/>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5" tint="0.79998168889431442"/>
        <bgColor theme="5" tint="0.79998168889431442"/>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79998168889431442"/>
        <bgColor theme="5" tint="0.79998168889431442"/>
      </patternFill>
    </fill>
    <fill>
      <patternFill patternType="solid">
        <fgColor theme="9" tint="0.79998168889431442"/>
        <bgColor theme="5" tint="0.79998168889431442"/>
      </patternFill>
    </fill>
    <fill>
      <patternFill patternType="solid">
        <fgColor theme="8" tint="0.59999389629810485"/>
        <bgColor indexed="64"/>
      </patternFill>
    </fill>
    <fill>
      <patternFill patternType="solid">
        <fgColor rgb="FFCF9FFF"/>
        <bgColor theme="5" tint="0.79998168889431442"/>
      </patternFill>
    </fill>
    <fill>
      <patternFill patternType="solid">
        <fgColor rgb="FFCF9FFF"/>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5"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xf numFmtId="0" fontId="22" fillId="0" borderId="0"/>
  </cellStyleXfs>
  <cellXfs count="146">
    <xf numFmtId="0" fontId="0" fillId="0" borderId="0" xfId="0"/>
    <xf numFmtId="164" fontId="0" fillId="0" borderId="0" xfId="0" applyNumberFormat="1"/>
    <xf numFmtId="1" fontId="0" fillId="0" borderId="0" xfId="0" applyNumberFormat="1"/>
    <xf numFmtId="0" fontId="16" fillId="33" borderId="0" xfId="0" applyFont="1" applyFill="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6" fillId="34" borderId="17" xfId="0" applyFont="1" applyFill="1" applyBorder="1"/>
    <xf numFmtId="0" fontId="16" fillId="35" borderId="0" xfId="0" applyFont="1" applyFill="1"/>
    <xf numFmtId="164" fontId="16" fillId="35" borderId="0" xfId="0" applyNumberFormat="1" applyFont="1" applyFill="1"/>
    <xf numFmtId="0" fontId="0" fillId="36" borderId="0" xfId="0" applyFill="1" applyAlignment="1">
      <alignment horizontal="left"/>
    </xf>
    <xf numFmtId="164" fontId="16" fillId="0" borderId="0" xfId="0" applyNumberFormat="1" applyFont="1"/>
    <xf numFmtId="0" fontId="18" fillId="37" borderId="18" xfId="0" applyFont="1" applyFill="1" applyBorder="1" applyAlignment="1">
      <alignment vertical="center"/>
    </xf>
    <xf numFmtId="0" fontId="0" fillId="37" borderId="22" xfId="0" applyFill="1" applyBorder="1" applyAlignment="1">
      <alignment vertical="center"/>
    </xf>
    <xf numFmtId="0" fontId="0" fillId="37" borderId="19" xfId="0" applyFill="1" applyBorder="1" applyAlignment="1">
      <alignment vertical="center"/>
    </xf>
    <xf numFmtId="165" fontId="0" fillId="36" borderId="0" xfId="0" applyNumberFormat="1" applyFill="1"/>
    <xf numFmtId="0" fontId="0" fillId="38" borderId="0" xfId="0" applyFill="1" applyAlignment="1">
      <alignment horizontal="left"/>
    </xf>
    <xf numFmtId="165" fontId="0" fillId="38" borderId="0" xfId="0" applyNumberFormat="1" applyFill="1"/>
    <xf numFmtId="165" fontId="16" fillId="0" borderId="0" xfId="0" applyNumberFormat="1" applyFont="1"/>
    <xf numFmtId="0" fontId="16" fillId="36" borderId="0" xfId="0" applyFont="1" applyFill="1"/>
    <xf numFmtId="2" fontId="16" fillId="36" borderId="0" xfId="0" applyNumberFormat="1" applyFont="1" applyFill="1"/>
    <xf numFmtId="0" fontId="16" fillId="35" borderId="18" xfId="0" applyFont="1" applyFill="1" applyBorder="1"/>
    <xf numFmtId="0" fontId="16" fillId="35" borderId="19" xfId="0" applyFont="1" applyFill="1" applyBorder="1"/>
    <xf numFmtId="0" fontId="16" fillId="35" borderId="18" xfId="0" applyFont="1" applyFill="1" applyBorder="1" applyAlignment="1">
      <alignment horizontal="left"/>
    </xf>
    <xf numFmtId="0" fontId="16" fillId="35" borderId="22" xfId="0" applyFont="1" applyFill="1" applyBorder="1"/>
    <xf numFmtId="0" fontId="19" fillId="39" borderId="18" xfId="0" applyFont="1" applyFill="1" applyBorder="1"/>
    <xf numFmtId="2" fontId="0" fillId="39" borderId="22" xfId="0" applyNumberFormat="1" applyFill="1" applyBorder="1"/>
    <xf numFmtId="2" fontId="0" fillId="39" borderId="19" xfId="0" applyNumberFormat="1" applyFill="1" applyBorder="1"/>
    <xf numFmtId="0" fontId="19" fillId="35" borderId="18" xfId="0" applyFont="1" applyFill="1" applyBorder="1"/>
    <xf numFmtId="2" fontId="16" fillId="35" borderId="22" xfId="0" applyNumberFormat="1" applyFont="1" applyFill="1" applyBorder="1"/>
    <xf numFmtId="2" fontId="16" fillId="35" borderId="19" xfId="0" applyNumberFormat="1" applyFont="1" applyFill="1" applyBorder="1"/>
    <xf numFmtId="0" fontId="0" fillId="40" borderId="18" xfId="0" applyFill="1" applyBorder="1"/>
    <xf numFmtId="0" fontId="0" fillId="40" borderId="22" xfId="0" applyFill="1" applyBorder="1"/>
    <xf numFmtId="0" fontId="0" fillId="40" borderId="19" xfId="0" applyFill="1" applyBorder="1"/>
    <xf numFmtId="0" fontId="0" fillId="37" borderId="0" xfId="0" applyFill="1" applyAlignment="1">
      <alignment horizontal="left"/>
    </xf>
    <xf numFmtId="2" fontId="0" fillId="37" borderId="11" xfId="0" applyNumberFormat="1" applyFill="1" applyBorder="1"/>
    <xf numFmtId="0" fontId="16" fillId="39" borderId="0" xfId="0" applyFont="1" applyFill="1"/>
    <xf numFmtId="0" fontId="0" fillId="37" borderId="18" xfId="0" applyFill="1" applyBorder="1" applyAlignment="1">
      <alignment horizontal="left"/>
    </xf>
    <xf numFmtId="0" fontId="0" fillId="36" borderId="11" xfId="0" applyFill="1" applyBorder="1" applyAlignment="1">
      <alignment horizontal="left"/>
    </xf>
    <xf numFmtId="2" fontId="0" fillId="36" borderId="11" xfId="0" applyNumberFormat="1" applyFill="1" applyBorder="1"/>
    <xf numFmtId="166" fontId="0" fillId="0" borderId="0" xfId="0" applyNumberFormat="1"/>
    <xf numFmtId="0" fontId="0" fillId="37" borderId="11" xfId="0" applyFill="1" applyBorder="1" applyAlignment="1">
      <alignment horizontal="left"/>
    </xf>
    <xf numFmtId="165" fontId="0" fillId="37" borderId="11" xfId="0" applyNumberFormat="1" applyFill="1" applyBorder="1"/>
    <xf numFmtId="0" fontId="16" fillId="34" borderId="11" xfId="0" applyFont="1" applyFill="1" applyBorder="1"/>
    <xf numFmtId="17" fontId="0" fillId="0" borderId="0" xfId="0" applyNumberFormat="1"/>
    <xf numFmtId="0" fontId="0" fillId="38" borderId="11" xfId="0" applyFill="1" applyBorder="1"/>
    <xf numFmtId="0" fontId="0" fillId="41" borderId="11" xfId="0" applyFill="1" applyBorder="1"/>
    <xf numFmtId="0" fontId="19" fillId="35" borderId="0" xfId="0" applyFont="1" applyFill="1"/>
    <xf numFmtId="2" fontId="16" fillId="0" borderId="0" xfId="0" applyNumberFormat="1" applyFont="1"/>
    <xf numFmtId="0" fontId="25" fillId="0" borderId="0" xfId="0" applyFont="1"/>
    <xf numFmtId="0" fontId="19" fillId="42" borderId="0" xfId="0" applyFont="1" applyFill="1"/>
    <xf numFmtId="0" fontId="0" fillId="43" borderId="11" xfId="0" applyFill="1" applyBorder="1"/>
    <xf numFmtId="0" fontId="0" fillId="44" borderId="11" xfId="0" applyFill="1" applyBorder="1"/>
    <xf numFmtId="166" fontId="17" fillId="0" borderId="0" xfId="0" applyNumberFormat="1" applyFont="1"/>
    <xf numFmtId="0" fontId="0" fillId="0" borderId="0" xfId="0" applyAlignment="1">
      <alignment vertical="top" wrapText="1"/>
    </xf>
    <xf numFmtId="164" fontId="16" fillId="36" borderId="0" xfId="0" applyNumberFormat="1" applyFont="1" applyFill="1" applyAlignment="1">
      <alignment horizontal="left" vertical="top" wrapText="1"/>
    </xf>
    <xf numFmtId="164" fontId="0" fillId="36" borderId="0" xfId="0" applyNumberFormat="1" applyFill="1" applyAlignment="1">
      <alignment horizontal="left" vertical="top" wrapText="1"/>
    </xf>
    <xf numFmtId="0" fontId="18" fillId="35" borderId="12" xfId="0" applyFont="1" applyFill="1" applyBorder="1" applyAlignment="1">
      <alignment horizontal="center" vertical="center"/>
    </xf>
    <xf numFmtId="0" fontId="18" fillId="35" borderId="13" xfId="0" applyFont="1" applyFill="1" applyBorder="1" applyAlignment="1">
      <alignment horizontal="center" vertical="center"/>
    </xf>
    <xf numFmtId="0" fontId="18" fillId="35" borderId="14" xfId="0" applyFont="1" applyFill="1" applyBorder="1" applyAlignment="1">
      <alignment horizontal="center" vertical="center"/>
    </xf>
    <xf numFmtId="0" fontId="18" fillId="35" borderId="20" xfId="0" applyFont="1" applyFill="1" applyBorder="1" applyAlignment="1">
      <alignment horizontal="center" vertical="center"/>
    </xf>
    <xf numFmtId="0" fontId="18" fillId="35" borderId="0" xfId="0" applyFont="1" applyFill="1" applyAlignment="1">
      <alignment horizontal="center" vertical="center"/>
    </xf>
    <xf numFmtId="0" fontId="18" fillId="35" borderId="21" xfId="0" applyFont="1" applyFill="1" applyBorder="1" applyAlignment="1">
      <alignment horizontal="center" vertical="center"/>
    </xf>
    <xf numFmtId="0" fontId="18" fillId="35" borderId="15" xfId="0" applyFont="1" applyFill="1" applyBorder="1" applyAlignment="1">
      <alignment horizontal="center" vertical="center"/>
    </xf>
    <xf numFmtId="0" fontId="18" fillId="35" borderId="10" xfId="0" applyFont="1" applyFill="1" applyBorder="1" applyAlignment="1">
      <alignment horizontal="center" vertical="center"/>
    </xf>
    <xf numFmtId="0" fontId="18" fillId="35" borderId="16" xfId="0" applyFont="1" applyFill="1" applyBorder="1" applyAlignment="1">
      <alignment horizontal="center" vertical="center"/>
    </xf>
    <xf numFmtId="164" fontId="18" fillId="35" borderId="12" xfId="0" applyNumberFormat="1" applyFont="1" applyFill="1" applyBorder="1" applyAlignment="1">
      <alignment horizontal="center" vertical="center"/>
    </xf>
    <xf numFmtId="164" fontId="0" fillId="35" borderId="13" xfId="0" applyNumberFormat="1" applyFill="1" applyBorder="1" applyAlignment="1">
      <alignment horizontal="center" vertical="center"/>
    </xf>
    <xf numFmtId="164" fontId="0" fillId="35" borderId="14" xfId="0" applyNumberFormat="1" applyFill="1" applyBorder="1" applyAlignment="1">
      <alignment horizontal="center" vertical="center"/>
    </xf>
    <xf numFmtId="164" fontId="0" fillId="35" borderId="20" xfId="0" applyNumberFormat="1" applyFill="1" applyBorder="1" applyAlignment="1">
      <alignment horizontal="center" vertical="center"/>
    </xf>
    <xf numFmtId="164" fontId="0" fillId="35" borderId="0" xfId="0" applyNumberFormat="1" applyFill="1" applyAlignment="1">
      <alignment horizontal="center" vertical="center"/>
    </xf>
    <xf numFmtId="164" fontId="0" fillId="35" borderId="21" xfId="0" applyNumberFormat="1" applyFill="1" applyBorder="1" applyAlignment="1">
      <alignment horizontal="center" vertical="center"/>
    </xf>
    <xf numFmtId="164" fontId="0" fillId="35" borderId="15" xfId="0" applyNumberFormat="1" applyFill="1" applyBorder="1" applyAlignment="1">
      <alignment horizontal="center" vertical="center"/>
    </xf>
    <xf numFmtId="164" fontId="0" fillId="35" borderId="10" xfId="0" applyNumberFormat="1" applyFill="1" applyBorder="1" applyAlignment="1">
      <alignment horizontal="center" vertical="center"/>
    </xf>
    <xf numFmtId="164" fontId="0" fillId="35" borderId="16" xfId="0" applyNumberFormat="1" applyFill="1" applyBorder="1" applyAlignment="1">
      <alignment horizontal="center" vertical="center"/>
    </xf>
    <xf numFmtId="0" fontId="19" fillId="35" borderId="12" xfId="0" applyFont="1" applyFill="1" applyBorder="1" applyAlignment="1">
      <alignment horizontal="center" vertical="center" wrapText="1"/>
    </xf>
    <xf numFmtId="0" fontId="19" fillId="35" borderId="13" xfId="0" applyFont="1" applyFill="1" applyBorder="1" applyAlignment="1">
      <alignment horizontal="center" vertical="center" wrapText="1"/>
    </xf>
    <xf numFmtId="0" fontId="19" fillId="35" borderId="14" xfId="0" applyFont="1" applyFill="1" applyBorder="1" applyAlignment="1">
      <alignment horizontal="center" vertical="center" wrapText="1"/>
    </xf>
    <xf numFmtId="0" fontId="19" fillId="35" borderId="20" xfId="0" applyFont="1" applyFill="1" applyBorder="1" applyAlignment="1">
      <alignment horizontal="center" vertical="center" wrapText="1"/>
    </xf>
    <xf numFmtId="0" fontId="19" fillId="35" borderId="0" xfId="0" applyFont="1" applyFill="1" applyAlignment="1">
      <alignment horizontal="center" vertical="center" wrapText="1"/>
    </xf>
    <xf numFmtId="0" fontId="19" fillId="35" borderId="21" xfId="0" applyFont="1" applyFill="1" applyBorder="1" applyAlignment="1">
      <alignment horizontal="center" vertical="center" wrapText="1"/>
    </xf>
    <xf numFmtId="0" fontId="19" fillId="35" borderId="15" xfId="0" applyFont="1" applyFill="1" applyBorder="1" applyAlignment="1">
      <alignment horizontal="center" vertical="center" wrapText="1"/>
    </xf>
    <xf numFmtId="0" fontId="19" fillId="35" borderId="10" xfId="0" applyFont="1" applyFill="1" applyBorder="1" applyAlignment="1">
      <alignment horizontal="center" vertical="center" wrapText="1"/>
    </xf>
    <xf numFmtId="0" fontId="19" fillId="35" borderId="16" xfId="0" applyFont="1" applyFill="1" applyBorder="1" applyAlignment="1">
      <alignment horizontal="center" vertical="center" wrapText="1"/>
    </xf>
    <xf numFmtId="0" fontId="20" fillId="35" borderId="12" xfId="0" applyFont="1" applyFill="1" applyBorder="1" applyAlignment="1">
      <alignment horizontal="center" vertical="center"/>
    </xf>
    <xf numFmtId="0" fontId="18" fillId="36" borderId="12" xfId="0" applyFont="1" applyFill="1" applyBorder="1" applyAlignment="1">
      <alignment horizontal="center" vertical="center" wrapText="1"/>
    </xf>
    <xf numFmtId="0" fontId="18" fillId="36" borderId="13" xfId="0" applyFont="1" applyFill="1" applyBorder="1" applyAlignment="1">
      <alignment horizontal="center" vertical="center" wrapText="1"/>
    </xf>
    <xf numFmtId="0" fontId="18" fillId="36" borderId="14" xfId="0" applyFont="1" applyFill="1" applyBorder="1" applyAlignment="1">
      <alignment horizontal="center" vertical="center" wrapText="1"/>
    </xf>
    <xf numFmtId="0" fontId="18" fillId="36" borderId="20" xfId="0" applyFont="1" applyFill="1" applyBorder="1" applyAlignment="1">
      <alignment horizontal="center" vertical="center" wrapText="1"/>
    </xf>
    <xf numFmtId="0" fontId="18" fillId="36" borderId="0" xfId="0" applyFont="1" applyFill="1" applyAlignment="1">
      <alignment horizontal="center" vertical="center" wrapText="1"/>
    </xf>
    <xf numFmtId="0" fontId="18" fillId="36" borderId="21" xfId="0" applyFont="1" applyFill="1" applyBorder="1" applyAlignment="1">
      <alignment horizontal="center" vertical="center" wrapText="1"/>
    </xf>
    <xf numFmtId="0" fontId="18" fillId="36" borderId="15" xfId="0" applyFont="1" applyFill="1" applyBorder="1" applyAlignment="1">
      <alignment horizontal="center" vertical="center" wrapText="1"/>
    </xf>
    <xf numFmtId="0" fontId="18" fillId="36" borderId="10" xfId="0" applyFont="1" applyFill="1" applyBorder="1" applyAlignment="1">
      <alignment horizontal="center" vertical="center" wrapText="1"/>
    </xf>
    <xf numFmtId="0" fontId="18" fillId="36" borderId="16" xfId="0" applyFont="1" applyFill="1" applyBorder="1" applyAlignment="1">
      <alignment horizontal="center" vertical="center" wrapText="1"/>
    </xf>
    <xf numFmtId="0" fontId="19" fillId="35" borderId="13" xfId="0" applyFont="1" applyFill="1" applyBorder="1" applyAlignment="1">
      <alignment horizontal="center" vertical="center"/>
    </xf>
    <xf numFmtId="0" fontId="19" fillId="35" borderId="14" xfId="0" applyFont="1" applyFill="1" applyBorder="1" applyAlignment="1">
      <alignment horizontal="center" vertical="center"/>
    </xf>
    <xf numFmtId="0" fontId="19" fillId="35" borderId="15" xfId="0" applyFont="1" applyFill="1" applyBorder="1" applyAlignment="1">
      <alignment horizontal="center" vertical="center"/>
    </xf>
    <xf numFmtId="0" fontId="19" fillId="35" borderId="10" xfId="0" applyFont="1" applyFill="1" applyBorder="1" applyAlignment="1">
      <alignment horizontal="center" vertical="center"/>
    </xf>
    <xf numFmtId="0" fontId="19" fillId="35" borderId="16" xfId="0" applyFont="1" applyFill="1" applyBorder="1" applyAlignment="1">
      <alignment horizontal="center" vertical="center"/>
    </xf>
    <xf numFmtId="164" fontId="18" fillId="35" borderId="0" xfId="0" applyNumberFormat="1" applyFont="1" applyFill="1" applyAlignment="1">
      <alignment horizontal="center" vertical="center"/>
    </xf>
    <xf numFmtId="0" fontId="24" fillId="35" borderId="12" xfId="0" applyFont="1" applyFill="1" applyBorder="1" applyAlignment="1">
      <alignment horizontal="center" vertical="center" wrapText="1"/>
    </xf>
    <xf numFmtId="0" fontId="24" fillId="35" borderId="13" xfId="0" applyFont="1" applyFill="1" applyBorder="1" applyAlignment="1">
      <alignment horizontal="center" vertical="center" wrapText="1"/>
    </xf>
    <xf numFmtId="0" fontId="24" fillId="35" borderId="14" xfId="0" applyFont="1" applyFill="1" applyBorder="1" applyAlignment="1">
      <alignment horizontal="center" vertical="center" wrapText="1"/>
    </xf>
    <xf numFmtId="0" fontId="24" fillId="35" borderId="20" xfId="0" applyFont="1" applyFill="1" applyBorder="1" applyAlignment="1">
      <alignment horizontal="center" vertical="center" wrapText="1"/>
    </xf>
    <xf numFmtId="0" fontId="24" fillId="35" borderId="0" xfId="0" applyFont="1" applyFill="1" applyAlignment="1">
      <alignment horizontal="center" vertical="center" wrapText="1"/>
    </xf>
    <xf numFmtId="0" fontId="24" fillId="35" borderId="21" xfId="0" applyFont="1" applyFill="1" applyBorder="1" applyAlignment="1">
      <alignment horizontal="center" vertical="center" wrapText="1"/>
    </xf>
    <xf numFmtId="0" fontId="24" fillId="35" borderId="15" xfId="0" applyFont="1" applyFill="1" applyBorder="1" applyAlignment="1">
      <alignment horizontal="center" vertical="center" wrapText="1"/>
    </xf>
    <xf numFmtId="0" fontId="24" fillId="35" borderId="10" xfId="0" applyFont="1" applyFill="1" applyBorder="1" applyAlignment="1">
      <alignment horizontal="center" vertical="center" wrapText="1"/>
    </xf>
    <xf numFmtId="0" fontId="24" fillId="35" borderId="16" xfId="0" applyFont="1" applyFill="1" applyBorder="1" applyAlignment="1">
      <alignment horizontal="center" vertical="center" wrapText="1"/>
    </xf>
    <xf numFmtId="0" fontId="0" fillId="35" borderId="0" xfId="0" applyFill="1" applyAlignment="1">
      <alignment horizontal="center" vertical="center"/>
    </xf>
    <xf numFmtId="0" fontId="0" fillId="35" borderId="21" xfId="0" applyFill="1" applyBorder="1" applyAlignment="1">
      <alignment horizontal="center" vertical="center"/>
    </xf>
    <xf numFmtId="0" fontId="0" fillId="35" borderId="15" xfId="0" applyFill="1" applyBorder="1" applyAlignment="1">
      <alignment horizontal="center" vertical="center"/>
    </xf>
    <xf numFmtId="0" fontId="0" fillId="35" borderId="10" xfId="0" applyFill="1" applyBorder="1" applyAlignment="1">
      <alignment horizontal="center" vertical="center"/>
    </xf>
    <xf numFmtId="0" fontId="0" fillId="35" borderId="16" xfId="0" applyFill="1" applyBorder="1" applyAlignment="1">
      <alignment horizontal="center" vertical="center"/>
    </xf>
    <xf numFmtId="0" fontId="20" fillId="36" borderId="12" xfId="0" applyFont="1" applyFill="1" applyBorder="1" applyAlignment="1">
      <alignment horizontal="center" vertical="center"/>
    </xf>
    <xf numFmtId="0" fontId="0" fillId="36" borderId="13" xfId="0" applyFill="1" applyBorder="1" applyAlignment="1">
      <alignment horizontal="center" vertical="center"/>
    </xf>
    <xf numFmtId="0" fontId="0" fillId="36" borderId="14" xfId="0" applyFill="1" applyBorder="1" applyAlignment="1">
      <alignment horizontal="center" vertical="center"/>
    </xf>
    <xf numFmtId="0" fontId="0" fillId="36" borderId="20" xfId="0" applyFill="1" applyBorder="1" applyAlignment="1">
      <alignment horizontal="center" vertical="center"/>
    </xf>
    <xf numFmtId="0" fontId="0" fillId="36" borderId="0" xfId="0" applyFill="1" applyAlignment="1">
      <alignment horizontal="center" vertical="center"/>
    </xf>
    <xf numFmtId="0" fontId="0" fillId="36" borderId="21" xfId="0" applyFill="1" applyBorder="1" applyAlignment="1">
      <alignment horizontal="center" vertical="center"/>
    </xf>
    <xf numFmtId="0" fontId="0" fillId="36" borderId="15" xfId="0" applyFill="1" applyBorder="1" applyAlignment="1">
      <alignment horizontal="center" vertical="center"/>
    </xf>
    <xf numFmtId="0" fontId="0" fillId="36" borderId="10" xfId="0" applyFill="1" applyBorder="1" applyAlignment="1">
      <alignment horizontal="center" vertical="center"/>
    </xf>
    <xf numFmtId="0" fontId="0" fillId="36" borderId="16" xfId="0" applyFill="1" applyBorder="1" applyAlignment="1">
      <alignment horizontal="center" vertical="center"/>
    </xf>
    <xf numFmtId="0" fontId="20" fillId="36" borderId="12" xfId="0" applyFont="1" applyFill="1" applyBorder="1" applyAlignment="1">
      <alignment horizontal="center" vertical="center" wrapText="1"/>
    </xf>
    <xf numFmtId="0" fontId="0" fillId="36" borderId="13" xfId="0" applyFill="1" applyBorder="1" applyAlignment="1">
      <alignment horizontal="center" vertical="center" wrapText="1"/>
    </xf>
    <xf numFmtId="0" fontId="0" fillId="36" borderId="14" xfId="0" applyFill="1" applyBorder="1" applyAlignment="1">
      <alignment horizontal="center" vertical="center" wrapText="1"/>
    </xf>
    <xf numFmtId="0" fontId="0" fillId="36" borderId="20" xfId="0" applyFill="1" applyBorder="1" applyAlignment="1">
      <alignment horizontal="center" vertical="center" wrapText="1"/>
    </xf>
    <xf numFmtId="0" fontId="0" fillId="36" borderId="0" xfId="0" applyFill="1" applyAlignment="1">
      <alignment horizontal="center" vertical="center" wrapText="1"/>
    </xf>
    <xf numFmtId="0" fontId="0" fillId="36" borderId="21" xfId="0" applyFill="1" applyBorder="1" applyAlignment="1">
      <alignment horizontal="center" vertical="center" wrapText="1"/>
    </xf>
    <xf numFmtId="0" fontId="0" fillId="36" borderId="15" xfId="0" applyFill="1" applyBorder="1" applyAlignment="1">
      <alignment horizontal="center" vertical="center" wrapText="1"/>
    </xf>
    <xf numFmtId="0" fontId="0" fillId="36" borderId="10" xfId="0" applyFill="1" applyBorder="1" applyAlignment="1">
      <alignment horizontal="center" vertical="center" wrapText="1"/>
    </xf>
    <xf numFmtId="0" fontId="0" fillId="36" borderId="16" xfId="0" applyFill="1" applyBorder="1" applyAlignment="1">
      <alignment horizontal="center" vertical="center" wrapText="1"/>
    </xf>
    <xf numFmtId="0" fontId="18" fillId="39" borderId="12" xfId="0" applyFont="1" applyFill="1" applyBorder="1" applyAlignment="1">
      <alignment horizontal="center" vertical="center" wrapText="1"/>
    </xf>
    <xf numFmtId="0" fontId="0" fillId="39" borderId="13" xfId="0" applyFill="1" applyBorder="1" applyAlignment="1">
      <alignment horizontal="center" vertical="center" wrapText="1"/>
    </xf>
    <xf numFmtId="0" fontId="0" fillId="39" borderId="14" xfId="0" applyFill="1" applyBorder="1" applyAlignment="1">
      <alignment horizontal="center" vertical="center" wrapText="1"/>
    </xf>
    <xf numFmtId="0" fontId="0" fillId="39" borderId="20" xfId="0" applyFill="1" applyBorder="1" applyAlignment="1">
      <alignment horizontal="center" vertical="center" wrapText="1"/>
    </xf>
    <xf numFmtId="0" fontId="0" fillId="39" borderId="0" xfId="0" applyFill="1" applyAlignment="1">
      <alignment horizontal="center" vertical="center" wrapText="1"/>
    </xf>
    <xf numFmtId="0" fontId="0" fillId="39" borderId="21" xfId="0" applyFill="1" applyBorder="1" applyAlignment="1">
      <alignment horizontal="center" vertical="center" wrapText="1"/>
    </xf>
    <xf numFmtId="0" fontId="0" fillId="39" borderId="15" xfId="0" applyFill="1" applyBorder="1" applyAlignment="1">
      <alignment horizontal="center" vertical="center" wrapText="1"/>
    </xf>
    <xf numFmtId="0" fontId="0" fillId="39" borderId="10" xfId="0" applyFill="1" applyBorder="1" applyAlignment="1">
      <alignment horizontal="center" vertical="center" wrapText="1"/>
    </xf>
    <xf numFmtId="0" fontId="0" fillId="39" borderId="16" xfId="0" applyFill="1" applyBorder="1" applyAlignment="1">
      <alignment horizontal="center" vertical="center" wrapText="1"/>
    </xf>
    <xf numFmtId="0" fontId="26" fillId="44" borderId="0" xfId="0" applyFont="1" applyFill="1" applyAlignment="1">
      <alignment horizontal="center" vertical="top"/>
    </xf>
    <xf numFmtId="0" fontId="23" fillId="44" borderId="0" xfId="0" applyFont="1" applyFill="1" applyAlignment="1">
      <alignment horizontal="center" vertical="top"/>
    </xf>
    <xf numFmtId="0" fontId="18" fillId="36" borderId="0" xfId="0" applyFont="1" applyFill="1" applyAlignment="1">
      <alignment horizontal="center" vertical="center"/>
    </xf>
    <xf numFmtId="0" fontId="18" fillId="0" borderId="0" xfId="0" applyFont="1" applyAlignment="1">
      <alignment horizontal="center"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59" xfId="43"/>
    <cellStyle name="Normal 4"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490595"/>
      <color rgb="FFB375F9"/>
      <color rgb="FFCF9FFF"/>
      <color rgb="FFB19CD7"/>
      <color rgb="FFCBC3E3"/>
      <color rgb="FF7F16BA"/>
      <color rgb="FF8F7C09"/>
      <color rgb="FFB381D9"/>
      <color rgb="FF708F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Y-O-Y Inflation from 2017 To 2023(Rural+Urban)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585972468954144E-2"/>
          <c:y val="0.18134586286288365"/>
          <c:w val="0.9137954239130931"/>
          <c:h val="0.70778649337022648"/>
        </c:manualLayout>
      </c:layout>
      <c:lineChart>
        <c:grouping val="standard"/>
        <c:varyColors val="0"/>
        <c:ser>
          <c:idx val="0"/>
          <c:order val="0"/>
          <c:tx>
            <c:strRef>
              <c:f>'Story Boarding'!$C$63</c:f>
              <c:strCache>
                <c:ptCount val="1"/>
                <c:pt idx="0">
                  <c:v>Yearly  Inflation</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28B7-461D-A195-438AD7169F7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28B7-461D-A195-438AD7169F7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3-28B7-461D-A195-438AD7169F7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4-28B7-461D-A195-438AD7169F7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5-28B7-461D-A195-438AD7169F7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6-28B7-461D-A195-438AD7169F7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'Story Boarding'!$B$64:$B$69</c:f>
              <c:strCache>
                <c:ptCount val="6"/>
                <c:pt idx="0">
                  <c:v>2017-18</c:v>
                </c:pt>
                <c:pt idx="1">
                  <c:v>2018-19</c:v>
                </c:pt>
                <c:pt idx="2">
                  <c:v>2019-20</c:v>
                </c:pt>
                <c:pt idx="3">
                  <c:v>2020-21</c:v>
                </c:pt>
                <c:pt idx="4">
                  <c:v>2021-22</c:v>
                </c:pt>
                <c:pt idx="5">
                  <c:v>2022-23</c:v>
                </c:pt>
              </c:strCache>
            </c:strRef>
          </c:cat>
          <c:val>
            <c:numRef>
              <c:f>'Story Boarding'!$C$64:$C$69</c:f>
              <c:numCache>
                <c:formatCode>0.00</c:formatCode>
                <c:ptCount val="6"/>
                <c:pt idx="0">
                  <c:v>4.0714849805492666</c:v>
                </c:pt>
                <c:pt idx="1">
                  <c:v>2.8751299851044281</c:v>
                </c:pt>
                <c:pt idx="2">
                  <c:v>3.8153058284737655</c:v>
                </c:pt>
                <c:pt idx="3">
                  <c:v>10.38523122030996</c:v>
                </c:pt>
                <c:pt idx="4">
                  <c:v>6.4581495696950837</c:v>
                </c:pt>
                <c:pt idx="5">
                  <c:v>4.2278753135077283</c:v>
                </c:pt>
              </c:numCache>
            </c:numRef>
          </c:val>
          <c:smooth val="0"/>
          <c:extLst>
            <c:ext xmlns:c16="http://schemas.microsoft.com/office/drawing/2014/chart" uri="{C3380CC4-5D6E-409C-BE32-E72D297353CC}">
              <c16:uniqueId val="{00000000-28B7-461D-A195-438AD7169F77}"/>
            </c:ext>
          </c:extLst>
        </c:ser>
        <c:dLbls>
          <c:dLblPos val="t"/>
          <c:showLegendKey val="0"/>
          <c:showVal val="1"/>
          <c:showCatName val="0"/>
          <c:showSerName val="0"/>
          <c:showPercent val="0"/>
          <c:showBubbleSize val="0"/>
        </c:dLbls>
        <c:smooth val="0"/>
        <c:axId val="981450799"/>
        <c:axId val="981458479"/>
      </c:lineChart>
      <c:catAx>
        <c:axId val="981450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8479"/>
        <c:crosses val="autoZero"/>
        <c:auto val="1"/>
        <c:lblAlgn val="ctr"/>
        <c:lblOffset val="100"/>
        <c:noMultiLvlLbl val="0"/>
      </c:catAx>
      <c:valAx>
        <c:axId val="9814584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Inflation Contribution</a:t>
            </a:r>
            <a:r>
              <a:rPr lang="en-US" baseline="0"/>
              <a:t> by each Food Category in the latest 12 Months Period</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4.8907031584784946E-2"/>
          <c:y val="0.11738024945596554"/>
          <c:w val="0.93162953781451807"/>
          <c:h val="0.66193759019771359"/>
        </c:manualLayout>
      </c:layout>
      <c:barChart>
        <c:barDir val="bar"/>
        <c:grouping val="clustered"/>
        <c:varyColors val="0"/>
        <c:ser>
          <c:idx val="0"/>
          <c:order val="0"/>
          <c:tx>
            <c:strRef>
              <c:f>'Story Boarding'!$B$157</c:f>
              <c:strCache>
                <c:ptCount val="1"/>
                <c:pt idx="0">
                  <c:v>Inflation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'Story Boarding'!$A$158:$A$169</c:f>
              <c:strCache>
                <c:ptCount val="12"/>
                <c:pt idx="0">
                  <c:v>Cereals and products</c:v>
                </c:pt>
                <c:pt idx="1">
                  <c:v>Meat and fish</c:v>
                </c:pt>
                <c:pt idx="2">
                  <c:v>Egg</c:v>
                </c:pt>
                <c:pt idx="3">
                  <c:v>Milk and products</c:v>
                </c:pt>
                <c:pt idx="4">
                  <c:v>Oils and fats</c:v>
                </c:pt>
                <c:pt idx="5">
                  <c:v>Fruits</c:v>
                </c:pt>
                <c:pt idx="6">
                  <c:v>Vegetables</c:v>
                </c:pt>
                <c:pt idx="7">
                  <c:v>Sugar and Confectionery</c:v>
                </c:pt>
                <c:pt idx="8">
                  <c:v>Pulses and products</c:v>
                </c:pt>
                <c:pt idx="9">
                  <c:v>Spices</c:v>
                </c:pt>
                <c:pt idx="10">
                  <c:v>Food and Beverages</c:v>
                </c:pt>
                <c:pt idx="11">
                  <c:v>Prepared meals, sncks, sweets etc.</c:v>
                </c:pt>
              </c:strCache>
            </c:strRef>
          </c:cat>
          <c:val>
            <c:numRef>
              <c:f>'Story Boarding'!$B$158:$B$169</c:f>
              <c:numCache>
                <c:formatCode>0.00</c:formatCode>
                <c:ptCount val="12"/>
                <c:pt idx="0">
                  <c:v>11.870416100822668</c:v>
                </c:pt>
                <c:pt idx="1">
                  <c:v>-1.0306313205548236</c:v>
                </c:pt>
                <c:pt idx="2">
                  <c:v>7.6940004787033187</c:v>
                </c:pt>
                <c:pt idx="3">
                  <c:v>8.4800369189480449</c:v>
                </c:pt>
                <c:pt idx="4">
                  <c:v>-16.766663940217004</c:v>
                </c:pt>
                <c:pt idx="5">
                  <c:v>1.1971642879922251</c:v>
                </c:pt>
                <c:pt idx="6">
                  <c:v>-6.8283553704978486</c:v>
                </c:pt>
                <c:pt idx="7">
                  <c:v>2.4925523398882858</c:v>
                </c:pt>
                <c:pt idx="8">
                  <c:v>6.6250982187715532</c:v>
                </c:pt>
                <c:pt idx="9">
                  <c:v>16.450326039553033</c:v>
                </c:pt>
                <c:pt idx="10">
                  <c:v>3.31</c:v>
                </c:pt>
                <c:pt idx="11">
                  <c:v>6.2473304772554314</c:v>
                </c:pt>
              </c:numCache>
            </c:numRef>
          </c:val>
          <c:extLst>
            <c:ext xmlns:c16="http://schemas.microsoft.com/office/drawing/2014/chart" uri="{C3380CC4-5D6E-409C-BE32-E72D297353CC}">
              <c16:uniqueId val="{00000000-007E-4670-BE20-440C0E777950}"/>
            </c:ext>
          </c:extLst>
        </c:ser>
        <c:dLbls>
          <c:showLegendKey val="0"/>
          <c:showVal val="0"/>
          <c:showCatName val="0"/>
          <c:showSerName val="0"/>
          <c:showPercent val="0"/>
          <c:showBubbleSize val="0"/>
        </c:dLbls>
        <c:gapWidth val="115"/>
        <c:overlap val="-20"/>
        <c:axId val="106946111"/>
        <c:axId val="106934111"/>
      </c:barChart>
      <c:catAx>
        <c:axId val="106946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934111"/>
        <c:crosses val="autoZero"/>
        <c:auto val="1"/>
        <c:lblAlgn val="ctr"/>
        <c:lblOffset val="100"/>
        <c:noMultiLvlLbl val="0"/>
      </c:catAx>
      <c:valAx>
        <c:axId val="1069341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9461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 Contribution in recent month</a:t>
            </a:r>
            <a:r>
              <a:rPr lang="en-IN" baseline="0"/>
              <a:t> by different sectors</a:t>
            </a:r>
            <a:r>
              <a:rPr lang="en-IN"/>
              <a:t>	</a:t>
            </a:r>
          </a:p>
        </c:rich>
      </c:tx>
      <c:layout>
        <c:manualLayout>
          <c:xMode val="edge"/>
          <c:yMode val="edge"/>
          <c:x val="0.1543984550044662"/>
          <c:y val="4.222222632664784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8976-42AC-A573-4C7C71285A1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6EE9-4256-A5C0-197AC813E78C}"/>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6EE9-4256-A5C0-197AC813E78C}"/>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6EE9-4256-A5C0-197AC813E78C}"/>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6EE9-4256-A5C0-197AC813E78C}"/>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6EE9-4256-A5C0-197AC813E78C}"/>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6EE9-4256-A5C0-197AC813E78C}"/>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6EE9-4256-A5C0-197AC813E78C}"/>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6EE9-4256-A5C0-197AC813E7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'Story Boarding'!$A$6:$I$6</c:f>
              <c:strCache>
                <c:ptCount val="9"/>
                <c:pt idx="0">
                  <c:v> Foods</c:v>
                </c:pt>
                <c:pt idx="1">
                  <c:v> Fuel and light</c:v>
                </c:pt>
                <c:pt idx="2">
                  <c:v> Luxury</c:v>
                </c:pt>
                <c:pt idx="3">
                  <c:v> Clothings</c:v>
                </c:pt>
                <c:pt idx="4">
                  <c:v> Housing Goods</c:v>
                </c:pt>
                <c:pt idx="5">
                  <c:v> Health</c:v>
                </c:pt>
                <c:pt idx="6">
                  <c:v> Transport and communication</c:v>
                </c:pt>
                <c:pt idx="7">
                  <c:v> Miscellaneous</c:v>
                </c:pt>
                <c:pt idx="8">
                  <c:v> Education</c:v>
                </c:pt>
              </c:strCache>
            </c:strRef>
          </c:cat>
          <c:val>
            <c:numRef>
              <c:f>'Story Boarding'!$A$7:$I$7</c:f>
              <c:numCache>
                <c:formatCode>0.00</c:formatCode>
                <c:ptCount val="9"/>
                <c:pt idx="0">
                  <c:v>45.182269382166687</c:v>
                </c:pt>
                <c:pt idx="1">
                  <c:v>3.9042443950025665</c:v>
                </c:pt>
                <c:pt idx="2">
                  <c:v>15.773147355810371</c:v>
                </c:pt>
                <c:pt idx="3">
                  <c:v>12.191939072394318</c:v>
                </c:pt>
                <c:pt idx="4">
                  <c:v>7.603114838268012</c:v>
                </c:pt>
                <c:pt idx="5">
                  <c:v>4.0176279308574365</c:v>
                </c:pt>
                <c:pt idx="6">
                  <c:v>3.6304124593530709</c:v>
                </c:pt>
                <c:pt idx="7">
                  <c:v>3.8400650350847165</c:v>
                </c:pt>
                <c:pt idx="8">
                  <c:v>3.8571795310628101</c:v>
                </c:pt>
              </c:numCache>
            </c:numRef>
          </c:val>
          <c:extLst>
            <c:ext xmlns:c16="http://schemas.microsoft.com/office/drawing/2014/chart" uri="{C3380CC4-5D6E-409C-BE32-E72D297353CC}">
              <c16:uniqueId val="{00000000-8976-42AC-A573-4C7C71285A1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488491056378312"/>
          <c:y val="0.18458917568459024"/>
          <c:w val="0.23645730820554142"/>
          <c:h val="0.77819206422726572"/>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Inflation Change before and after Covid</a:t>
            </a:r>
          </a:p>
        </c:rich>
      </c:tx>
      <c:layout>
        <c:manualLayout>
          <c:xMode val="edge"/>
          <c:yMode val="edge"/>
          <c:x val="0.36422449585766897"/>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'Story Boarding'!$G$191</c:f>
              <c:strCache>
                <c:ptCount val="1"/>
                <c:pt idx="0">
                  <c:v>2019-2020(Mar)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2"/>
              <c:layout>
                <c:manualLayout>
                  <c:x val="-2.4544932009315568E-2"/>
                  <c:y val="3.999714213580185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D8D-428D-92E3-05C651D16A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'Story Boarding'!$H$190:$J$190</c:f>
              <c:strCache>
                <c:ptCount val="3"/>
                <c:pt idx="0">
                  <c:v>Inflation of Foods</c:v>
                </c:pt>
                <c:pt idx="1">
                  <c:v>Inflation of Health</c:v>
                </c:pt>
                <c:pt idx="2">
                  <c:v>Inflation of Essential Services</c:v>
                </c:pt>
              </c:strCache>
            </c:strRef>
          </c:cat>
          <c:val>
            <c:numRef>
              <c:f>'Story Boarding'!$H$191:$J$191</c:f>
              <c:numCache>
                <c:formatCode>0.00</c:formatCode>
                <c:ptCount val="3"/>
                <c:pt idx="0">
                  <c:v>7.907375993786947</c:v>
                </c:pt>
                <c:pt idx="1">
                  <c:v>4.1762276273520138</c:v>
                </c:pt>
                <c:pt idx="2">
                  <c:v>4.1915809614924884</c:v>
                </c:pt>
              </c:numCache>
            </c:numRef>
          </c:val>
          <c:smooth val="0"/>
          <c:extLst xmlns:c15="http://schemas.microsoft.com/office/drawing/2012/chart">
            <c:ext xmlns:c16="http://schemas.microsoft.com/office/drawing/2014/chart" uri="{C3380CC4-5D6E-409C-BE32-E72D297353CC}">
              <c16:uniqueId val="{00000000-1F3E-49FF-B131-2D7F14A8D1D3}"/>
            </c:ext>
          </c:extLst>
        </c:ser>
        <c:ser>
          <c:idx val="1"/>
          <c:order val="1"/>
          <c:tx>
            <c:strRef>
              <c:f>'Story Boarding'!$G$192</c:f>
              <c:strCache>
                <c:ptCount val="1"/>
                <c:pt idx="0">
                  <c:v>2020-2021(Mar)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0"/>
              <c:layout>
                <c:manualLayout>
                  <c:x val="-2.3218895704112227E-2"/>
                  <c:y val="5.880277701477570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D8D-428D-92E3-05C651D16A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'Story Boarding'!$H$190:$J$190</c:f>
              <c:strCache>
                <c:ptCount val="3"/>
                <c:pt idx="0">
                  <c:v>Inflation of Foods</c:v>
                </c:pt>
                <c:pt idx="1">
                  <c:v>Inflation of Health</c:v>
                </c:pt>
                <c:pt idx="2">
                  <c:v>Inflation of Essential Services</c:v>
                </c:pt>
              </c:strCache>
            </c:strRef>
          </c:cat>
          <c:val>
            <c:numRef>
              <c:f>'Story Boarding'!$H$192:$J$192</c:f>
              <c:numCache>
                <c:formatCode>0.00</c:formatCode>
                <c:ptCount val="3"/>
                <c:pt idx="0">
                  <c:v>7.2351225425205321</c:v>
                </c:pt>
                <c:pt idx="1">
                  <c:v>6.4317180616740188</c:v>
                </c:pt>
                <c:pt idx="2">
                  <c:v>5.6126255380200698</c:v>
                </c:pt>
              </c:numCache>
            </c:numRef>
          </c:val>
          <c:smooth val="0"/>
          <c:extLst xmlns:c15="http://schemas.microsoft.com/office/drawing/2012/chart">
            <c:ext xmlns:c16="http://schemas.microsoft.com/office/drawing/2014/chart" uri="{C3380CC4-5D6E-409C-BE32-E72D297353CC}">
              <c16:uniqueId val="{00000001-1F3E-49FF-B131-2D7F14A8D1D3}"/>
            </c:ext>
          </c:extLst>
        </c:ser>
        <c:dLbls>
          <c:dLblPos val="t"/>
          <c:showLegendKey val="0"/>
          <c:showVal val="1"/>
          <c:showCatName val="0"/>
          <c:showSerName val="0"/>
          <c:showPercent val="0"/>
          <c:showBubbleSize val="0"/>
        </c:dLbls>
        <c:smooth val="0"/>
        <c:axId val="984865119"/>
        <c:axId val="984865599"/>
        <c:extLst/>
      </c:lineChart>
      <c:catAx>
        <c:axId val="984865119"/>
        <c:scaling>
          <c:orientation val="minMax"/>
        </c:scaling>
        <c:delete val="1"/>
        <c:axPos val="b"/>
        <c:numFmt formatCode="General" sourceLinked="1"/>
        <c:majorTickMark val="none"/>
        <c:minorTickMark val="none"/>
        <c:tickLblPos val="nextTo"/>
        <c:crossAx val="984865599"/>
        <c:crosses val="autoZero"/>
        <c:auto val="1"/>
        <c:lblAlgn val="ctr"/>
        <c:lblOffset val="100"/>
        <c:noMultiLvlLbl val="0"/>
      </c:catAx>
      <c:valAx>
        <c:axId val="984865599"/>
        <c:scaling>
          <c:orientation val="minMax"/>
        </c:scaling>
        <c:delete val="1"/>
        <c:axPos val="l"/>
        <c:numFmt formatCode="0.00" sourceLinked="1"/>
        <c:majorTickMark val="none"/>
        <c:minorTickMark val="none"/>
        <c:tickLblPos val="nextTo"/>
        <c:crossAx val="9848651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 Contribution in recent month</a:t>
            </a:r>
            <a:r>
              <a:rPr lang="en-IN" baseline="0"/>
              <a:t> by different sectors</a:t>
            </a:r>
            <a:r>
              <a:rPr lang="en-IN"/>
              <a:t>	</a:t>
            </a:r>
          </a:p>
        </c:rich>
      </c:tx>
      <c:layout>
        <c:manualLayout>
          <c:xMode val="edge"/>
          <c:yMode val="edge"/>
          <c:x val="0.11449244020553768"/>
          <c:y val="3.836425828715855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1"/>
          <c:order val="0"/>
          <c:dPt>
            <c:idx val="0"/>
            <c:bubble3D val="0"/>
            <c:spPr>
              <a:solidFill>
                <a:schemeClr val="accent5">
                  <a:lumMod val="20000"/>
                  <a:lumOff val="80000"/>
                </a:schemeClr>
              </a:solidFill>
              <a:ln w="0">
                <a:solidFill>
                  <a:schemeClr val="lt1"/>
                </a:solidFill>
              </a:ln>
              <a:effectLst/>
            </c:spPr>
            <c:extLst>
              <c:ext xmlns:c16="http://schemas.microsoft.com/office/drawing/2014/chart" uri="{C3380CC4-5D6E-409C-BE32-E72D297353CC}">
                <c16:uniqueId val="{00000028-6FB1-4BF2-BE7E-179156C002D2}"/>
              </c:ext>
            </c:extLst>
          </c:dPt>
          <c:dPt>
            <c:idx val="1"/>
            <c:bubble3D val="0"/>
            <c:spPr>
              <a:solidFill>
                <a:srgbClr val="B381D9"/>
              </a:solidFill>
              <a:ln w="6350">
                <a:solidFill>
                  <a:schemeClr val="lt1"/>
                </a:solidFill>
              </a:ln>
              <a:effectLst/>
            </c:spPr>
            <c:extLst>
              <c:ext xmlns:c16="http://schemas.microsoft.com/office/drawing/2014/chart" uri="{C3380CC4-5D6E-409C-BE32-E72D297353CC}">
                <c16:uniqueId val="{00000029-6FB1-4BF2-BE7E-179156C002D2}"/>
              </c:ext>
            </c:extLst>
          </c:dPt>
          <c:dPt>
            <c:idx val="2"/>
            <c:bubble3D val="0"/>
            <c:spPr>
              <a:solidFill>
                <a:srgbClr val="7030A0"/>
              </a:solidFill>
              <a:ln w="6350">
                <a:solidFill>
                  <a:schemeClr val="lt1"/>
                </a:solidFill>
              </a:ln>
              <a:effectLst/>
            </c:spPr>
            <c:extLst>
              <c:ext xmlns:c16="http://schemas.microsoft.com/office/drawing/2014/chart" uri="{C3380CC4-5D6E-409C-BE32-E72D297353CC}">
                <c16:uniqueId val="{0000002A-6FB1-4BF2-BE7E-179156C002D2}"/>
              </c:ext>
            </c:extLst>
          </c:dPt>
          <c:dPt>
            <c:idx val="3"/>
            <c:bubble3D val="0"/>
            <c:spPr>
              <a:solidFill>
                <a:schemeClr val="tx2">
                  <a:lumMod val="50000"/>
                  <a:lumOff val="50000"/>
                </a:schemeClr>
              </a:solidFill>
              <a:ln w="6350">
                <a:solidFill>
                  <a:schemeClr val="lt1"/>
                </a:solidFill>
              </a:ln>
              <a:effectLst/>
            </c:spPr>
            <c:extLst>
              <c:ext xmlns:c16="http://schemas.microsoft.com/office/drawing/2014/chart" uri="{C3380CC4-5D6E-409C-BE32-E72D297353CC}">
                <c16:uniqueId val="{0000002B-6FB1-4BF2-BE7E-179156C002D2}"/>
              </c:ext>
            </c:extLst>
          </c:dPt>
          <c:dPt>
            <c:idx val="4"/>
            <c:bubble3D val="0"/>
            <c:spPr>
              <a:solidFill>
                <a:schemeClr val="bg2">
                  <a:lumMod val="75000"/>
                </a:schemeClr>
              </a:solidFill>
              <a:ln w="6350">
                <a:solidFill>
                  <a:schemeClr val="lt1"/>
                </a:solidFill>
              </a:ln>
              <a:effectLst/>
            </c:spPr>
            <c:extLst>
              <c:ext xmlns:c16="http://schemas.microsoft.com/office/drawing/2014/chart" uri="{C3380CC4-5D6E-409C-BE32-E72D297353CC}">
                <c16:uniqueId val="{0000002C-6FB1-4BF2-BE7E-179156C002D2}"/>
              </c:ext>
            </c:extLst>
          </c:dPt>
          <c:dPt>
            <c:idx val="5"/>
            <c:bubble3D val="0"/>
            <c:spPr>
              <a:solidFill>
                <a:schemeClr val="accent6">
                  <a:lumMod val="60000"/>
                  <a:lumOff val="40000"/>
                </a:schemeClr>
              </a:solidFill>
              <a:ln w="6350">
                <a:solidFill>
                  <a:schemeClr val="lt1"/>
                </a:solidFill>
              </a:ln>
              <a:effectLst/>
            </c:spPr>
            <c:extLst>
              <c:ext xmlns:c16="http://schemas.microsoft.com/office/drawing/2014/chart" uri="{C3380CC4-5D6E-409C-BE32-E72D297353CC}">
                <c16:uniqueId val="{0000002D-6FB1-4BF2-BE7E-179156C002D2}"/>
              </c:ext>
            </c:extLst>
          </c:dPt>
          <c:dPt>
            <c:idx val="6"/>
            <c:bubble3D val="0"/>
            <c:spPr>
              <a:solidFill>
                <a:schemeClr val="accent2">
                  <a:lumMod val="40000"/>
                  <a:lumOff val="60000"/>
                </a:schemeClr>
              </a:solidFill>
              <a:ln w="6350">
                <a:solidFill>
                  <a:schemeClr val="lt1"/>
                </a:solidFill>
              </a:ln>
              <a:effectLst/>
            </c:spPr>
            <c:extLst>
              <c:ext xmlns:c16="http://schemas.microsoft.com/office/drawing/2014/chart" uri="{C3380CC4-5D6E-409C-BE32-E72D297353CC}">
                <c16:uniqueId val="{0000002E-6FB1-4BF2-BE7E-179156C002D2}"/>
              </c:ext>
            </c:extLst>
          </c:dPt>
          <c:dPt>
            <c:idx val="7"/>
            <c:bubble3D val="0"/>
            <c:spPr>
              <a:solidFill>
                <a:schemeClr val="accent4">
                  <a:lumMod val="40000"/>
                  <a:lumOff val="60000"/>
                </a:schemeClr>
              </a:solidFill>
              <a:ln w="6350">
                <a:solidFill>
                  <a:schemeClr val="lt1"/>
                </a:solidFill>
              </a:ln>
              <a:effectLst/>
            </c:spPr>
            <c:extLst>
              <c:ext xmlns:c16="http://schemas.microsoft.com/office/drawing/2014/chart" uri="{C3380CC4-5D6E-409C-BE32-E72D297353CC}">
                <c16:uniqueId val="{0000002F-6FB1-4BF2-BE7E-179156C002D2}"/>
              </c:ext>
            </c:extLst>
          </c:dPt>
          <c:dPt>
            <c:idx val="8"/>
            <c:bubble3D val="0"/>
            <c:spPr>
              <a:solidFill>
                <a:schemeClr val="accent5">
                  <a:lumMod val="60000"/>
                  <a:lumOff val="40000"/>
                </a:schemeClr>
              </a:solidFill>
              <a:ln w="6350">
                <a:solidFill>
                  <a:schemeClr val="lt1"/>
                </a:solidFill>
              </a:ln>
              <a:effectLst/>
            </c:spPr>
            <c:extLst>
              <c:ext xmlns:c16="http://schemas.microsoft.com/office/drawing/2014/chart" uri="{C3380CC4-5D6E-409C-BE32-E72D297353CC}">
                <c16:uniqueId val="{00000030-6FB1-4BF2-BE7E-179156C002D2}"/>
              </c:ext>
            </c:extLst>
          </c:dPt>
          <c:dLbls>
            <c:dLbl>
              <c:idx val="0"/>
              <c:layout>
                <c:manualLayout>
                  <c:x val="2.3474178403755867E-2"/>
                  <c:y val="0"/>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8-6FB1-4BF2-BE7E-179156C002D2}"/>
                </c:ext>
              </c:extLst>
            </c:dLbl>
            <c:dLbl>
              <c:idx val="1"/>
              <c:layout>
                <c:manualLayout>
                  <c:x val="7.0422535211267174E-3"/>
                  <c:y val="2.46548323471400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9-6FB1-4BF2-BE7E-179156C002D2}"/>
                </c:ext>
              </c:extLst>
            </c:dLbl>
            <c:dLbl>
              <c:idx val="2"/>
              <c:layout>
                <c:manualLayout>
                  <c:x val="-3.5211267605633804E-2"/>
                  <c:y val="4.9309664694280079E-3"/>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A-6FB1-4BF2-BE7E-179156C002D2}"/>
                </c:ext>
              </c:extLst>
            </c:dLbl>
            <c:dLbl>
              <c:idx val="3"/>
              <c:layout>
                <c:manualLayout>
                  <c:x val="-3.051643192488265E-2"/>
                  <c:y val="2.9585798816568046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B-6FB1-4BF2-BE7E-179156C002D2}"/>
                </c:ext>
              </c:extLst>
            </c:dLbl>
            <c:dLbl>
              <c:idx val="4"/>
              <c:layout>
                <c:manualLayout>
                  <c:x val="-3.286384976525826E-2"/>
                  <c:y val="1.9723865877712032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C-6FB1-4BF2-BE7E-179156C002D2}"/>
                </c:ext>
              </c:extLst>
            </c:dLbl>
            <c:dLbl>
              <c:idx val="5"/>
              <c:layout>
                <c:manualLayout>
                  <c:x val="-4.6948356807511735E-2"/>
                  <c:y val="-4.9309664694280079E-3"/>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D-6FB1-4BF2-BE7E-179156C002D2}"/>
                </c:ext>
              </c:extLst>
            </c:dLbl>
            <c:dLbl>
              <c:idx val="6"/>
              <c:layout>
                <c:manualLayout>
                  <c:x val="-4.4600938967136149E-2"/>
                  <c:y val="-6.4102564102564097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E-6FB1-4BF2-BE7E-179156C002D2}"/>
                </c:ext>
              </c:extLst>
            </c:dLbl>
            <c:dLbl>
              <c:idx val="7"/>
              <c:layout>
                <c:manualLayout>
                  <c:x val="-2.3474178403756298E-3"/>
                  <c:y val="-9.368836291913217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F-6FB1-4BF2-BE7E-179156C002D2}"/>
                </c:ext>
              </c:extLst>
            </c:dLbl>
            <c:dLbl>
              <c:idx val="8"/>
              <c:layout>
                <c:manualLayout>
                  <c:x val="2.8169014084507043E-2"/>
                  <c:y val="-9.8619329388560162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30-6FB1-4BF2-BE7E-179156C002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'Story Boarding'!$A$6:$I$6</c:f>
              <c:strCache>
                <c:ptCount val="9"/>
                <c:pt idx="0">
                  <c:v> Foods</c:v>
                </c:pt>
                <c:pt idx="1">
                  <c:v> Fuel and light</c:v>
                </c:pt>
                <c:pt idx="2">
                  <c:v> Luxury</c:v>
                </c:pt>
                <c:pt idx="3">
                  <c:v> Clothings</c:v>
                </c:pt>
                <c:pt idx="4">
                  <c:v> Housing Goods</c:v>
                </c:pt>
                <c:pt idx="5">
                  <c:v> Health</c:v>
                </c:pt>
                <c:pt idx="6">
                  <c:v> Transport and communication</c:v>
                </c:pt>
                <c:pt idx="7">
                  <c:v> Miscellaneous</c:v>
                </c:pt>
                <c:pt idx="8">
                  <c:v> Education</c:v>
                </c:pt>
              </c:strCache>
            </c:strRef>
          </c:cat>
          <c:val>
            <c:numRef>
              <c:f>'Story Boarding'!$A$7:$I$7</c:f>
              <c:numCache>
                <c:formatCode>0.00</c:formatCode>
                <c:ptCount val="9"/>
                <c:pt idx="0">
                  <c:v>45.182269382166687</c:v>
                </c:pt>
                <c:pt idx="1">
                  <c:v>3.9042443950025665</c:v>
                </c:pt>
                <c:pt idx="2">
                  <c:v>15.773147355810371</c:v>
                </c:pt>
                <c:pt idx="3">
                  <c:v>12.191939072394318</c:v>
                </c:pt>
                <c:pt idx="4">
                  <c:v>7.603114838268012</c:v>
                </c:pt>
                <c:pt idx="5">
                  <c:v>4.0176279308574365</c:v>
                </c:pt>
                <c:pt idx="6">
                  <c:v>3.6304124593530709</c:v>
                </c:pt>
                <c:pt idx="7">
                  <c:v>3.8400650350847165</c:v>
                </c:pt>
                <c:pt idx="8">
                  <c:v>3.8571795310628101</c:v>
                </c:pt>
              </c:numCache>
            </c:numRef>
          </c:val>
          <c:extLst>
            <c:ext xmlns:c16="http://schemas.microsoft.com/office/drawing/2014/chart" uri="{C3380CC4-5D6E-409C-BE32-E72D297353CC}">
              <c16:uniqueId val="{00000027-6FB1-4BF2-BE7E-179156C002D2}"/>
            </c:ext>
          </c:extLst>
        </c:ser>
        <c:ser>
          <c:idx val="0"/>
          <c:order val="1"/>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15-6FB1-4BF2-BE7E-179156C002D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17-6FB1-4BF2-BE7E-179156C002D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19-6FB1-4BF2-BE7E-179156C002D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B-6FB1-4BF2-BE7E-179156C002D2}"/>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1D-6FB1-4BF2-BE7E-179156C002D2}"/>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1F-6FB1-4BF2-BE7E-179156C002D2}"/>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21-6FB1-4BF2-BE7E-179156C002D2}"/>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23-6FB1-4BF2-BE7E-179156C002D2}"/>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25-6FB1-4BF2-BE7E-179156C002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'Story Boarding'!$A$6:$I$6</c:f>
              <c:strCache>
                <c:ptCount val="9"/>
                <c:pt idx="0">
                  <c:v> Foods</c:v>
                </c:pt>
                <c:pt idx="1">
                  <c:v> Fuel and light</c:v>
                </c:pt>
                <c:pt idx="2">
                  <c:v> Luxury</c:v>
                </c:pt>
                <c:pt idx="3">
                  <c:v> Clothings</c:v>
                </c:pt>
                <c:pt idx="4">
                  <c:v> Housing Goods</c:v>
                </c:pt>
                <c:pt idx="5">
                  <c:v> Health</c:v>
                </c:pt>
                <c:pt idx="6">
                  <c:v> Transport and communication</c:v>
                </c:pt>
                <c:pt idx="7">
                  <c:v> Miscellaneous</c:v>
                </c:pt>
                <c:pt idx="8">
                  <c:v> Education</c:v>
                </c:pt>
              </c:strCache>
            </c:strRef>
          </c:cat>
          <c:val>
            <c:numRef>
              <c:f>'Story Boarding'!$A$7:$I$7</c:f>
              <c:numCache>
                <c:formatCode>0.00</c:formatCode>
                <c:ptCount val="9"/>
                <c:pt idx="0">
                  <c:v>45.182269382166687</c:v>
                </c:pt>
                <c:pt idx="1">
                  <c:v>3.9042443950025665</c:v>
                </c:pt>
                <c:pt idx="2">
                  <c:v>15.773147355810371</c:v>
                </c:pt>
                <c:pt idx="3">
                  <c:v>12.191939072394318</c:v>
                </c:pt>
                <c:pt idx="4">
                  <c:v>7.603114838268012</c:v>
                </c:pt>
                <c:pt idx="5">
                  <c:v>4.0176279308574365</c:v>
                </c:pt>
                <c:pt idx="6">
                  <c:v>3.6304124593530709</c:v>
                </c:pt>
                <c:pt idx="7">
                  <c:v>3.8400650350847165</c:v>
                </c:pt>
                <c:pt idx="8">
                  <c:v>3.8571795310628101</c:v>
                </c:pt>
              </c:numCache>
            </c:numRef>
          </c:val>
          <c:extLst>
            <c:ext xmlns:c16="http://schemas.microsoft.com/office/drawing/2014/chart" uri="{C3380CC4-5D6E-409C-BE32-E72D297353CC}">
              <c16:uniqueId val="{00000026-6FB1-4BF2-BE7E-179156C002D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286945089168487"/>
          <c:y val="0.22778836703075803"/>
          <c:w val="0.37296832891823017"/>
          <c:h val="0.6915106309481428"/>
        </c:manualLayout>
      </c:layout>
      <c:overlay val="0"/>
      <c:spPr>
        <a:solidFill>
          <a:schemeClr val="lt1">
            <a:alpha val="50000"/>
          </a:schemeClr>
        </a:solidFill>
        <a:ln w="12700">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0"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Y-O-Y Inflation from 2017 To 2023(Rural+Urban)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064555125147323E-2"/>
          <c:y val="0.18329064657176891"/>
          <c:w val="0.91426223407870344"/>
          <c:h val="0.70952966773018322"/>
        </c:manualLayout>
      </c:layout>
      <c:lineChart>
        <c:grouping val="standard"/>
        <c:varyColors val="0"/>
        <c:ser>
          <c:idx val="0"/>
          <c:order val="0"/>
          <c:tx>
            <c:strRef>
              <c:f>'Story Boarding'!$C$63</c:f>
              <c:strCache>
                <c:ptCount val="1"/>
                <c:pt idx="0">
                  <c:v>Yearly  Inflation</c:v>
                </c:pt>
              </c:strCache>
            </c:strRef>
          </c:tx>
          <c:spPr>
            <a:ln w="44450" cap="rnd">
              <a:solidFill>
                <a:srgbClr val="7030A0"/>
              </a:solidFill>
              <a:round/>
            </a:ln>
            <a:effectLst>
              <a:outerShdw blurRad="57150" dist="19050" dir="5400000" algn="ctr" rotWithShape="0">
                <a:srgbClr val="000000">
                  <a:alpha val="63000"/>
                </a:srgbClr>
              </a:outerShdw>
            </a:effectLst>
          </c:spPr>
          <c:marker>
            <c:symbol val="none"/>
          </c:marker>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DEDB-4CE3-A344-28614AF8FB2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DEDB-4CE3-A344-28614AF8FB2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DEDB-4CE3-A344-28614AF8FB2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3-DEDB-4CE3-A344-28614AF8FB2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4-DEDB-4CE3-A344-28614AF8FB2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5-DEDB-4CE3-A344-28614AF8FB2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'Story Boarding'!$B$64:$B$69</c:f>
              <c:strCache>
                <c:ptCount val="6"/>
                <c:pt idx="0">
                  <c:v>2017-18</c:v>
                </c:pt>
                <c:pt idx="1">
                  <c:v>2018-19</c:v>
                </c:pt>
                <c:pt idx="2">
                  <c:v>2019-20</c:v>
                </c:pt>
                <c:pt idx="3">
                  <c:v>2020-21</c:v>
                </c:pt>
                <c:pt idx="4">
                  <c:v>2021-22</c:v>
                </c:pt>
                <c:pt idx="5">
                  <c:v>2022-23</c:v>
                </c:pt>
              </c:strCache>
            </c:strRef>
          </c:cat>
          <c:val>
            <c:numRef>
              <c:f>'Story Boarding'!$C$64:$C$69</c:f>
              <c:numCache>
                <c:formatCode>0.00</c:formatCode>
                <c:ptCount val="6"/>
                <c:pt idx="0">
                  <c:v>4.0714849805492666</c:v>
                </c:pt>
                <c:pt idx="1">
                  <c:v>2.8751299851044281</c:v>
                </c:pt>
                <c:pt idx="2">
                  <c:v>3.8153058284737655</c:v>
                </c:pt>
                <c:pt idx="3">
                  <c:v>10.38523122030996</c:v>
                </c:pt>
                <c:pt idx="4">
                  <c:v>6.4581495696950837</c:v>
                </c:pt>
                <c:pt idx="5">
                  <c:v>4.2278753135077283</c:v>
                </c:pt>
              </c:numCache>
            </c:numRef>
          </c:val>
          <c:smooth val="1"/>
          <c:extLst>
            <c:ext xmlns:c16="http://schemas.microsoft.com/office/drawing/2014/chart" uri="{C3380CC4-5D6E-409C-BE32-E72D297353CC}">
              <c16:uniqueId val="{00000006-DEDB-4CE3-A344-28614AF8FB25}"/>
            </c:ext>
          </c:extLst>
        </c:ser>
        <c:dLbls>
          <c:dLblPos val="t"/>
          <c:showLegendKey val="0"/>
          <c:showVal val="1"/>
          <c:showCatName val="0"/>
          <c:showSerName val="0"/>
          <c:showPercent val="0"/>
          <c:showBubbleSize val="0"/>
        </c:dLbls>
        <c:smooth val="0"/>
        <c:axId val="981450799"/>
        <c:axId val="981458479"/>
      </c:lineChart>
      <c:catAx>
        <c:axId val="981450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8479"/>
        <c:crosses val="autoZero"/>
        <c:auto val="1"/>
        <c:lblAlgn val="ctr"/>
        <c:lblOffset val="100"/>
        <c:noMultiLvlLbl val="0"/>
      </c:catAx>
      <c:valAx>
        <c:axId val="9814584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Inflation Contribution by each Food Category in the latest 12 Months Period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9900999227257783E-2"/>
          <c:y val="0.18674170934536402"/>
          <c:w val="0.93162953781451807"/>
          <c:h val="0.66193759019771359"/>
        </c:manualLayout>
      </c:layout>
      <c:barChart>
        <c:barDir val="bar"/>
        <c:grouping val="clustered"/>
        <c:varyColors val="0"/>
        <c:ser>
          <c:idx val="0"/>
          <c:order val="0"/>
          <c:tx>
            <c:strRef>
              <c:f>'Story Boarding'!$B$157</c:f>
              <c:strCache>
                <c:ptCount val="1"/>
                <c:pt idx="0">
                  <c:v>Inflation</c:v>
                </c:pt>
              </c:strCache>
            </c:strRef>
          </c:tx>
          <c:spPr>
            <a:solidFill>
              <a:srgbClr val="7030A0"/>
            </a:solidFill>
            <a:ln>
              <a:solidFill>
                <a:srgbClr val="7030A0"/>
              </a:solidFill>
            </a:ln>
            <a:effectLst>
              <a:outerShdw blurRad="57150" dist="19050" dir="5400000" algn="ctr" rotWithShape="0">
                <a:srgbClr val="000000">
                  <a:alpha val="63000"/>
                </a:srgbClr>
              </a:outerShdw>
            </a:effectLst>
          </c:spPr>
          <c:invertIfNegative val="0"/>
          <c:dLbls>
            <c:dLbl>
              <c:idx val="1"/>
              <c:layout>
                <c:manualLayout>
                  <c:x val="4.2498336159066348E-2"/>
                  <c:y val="-3.6210324390334937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90A-4B2F-B43F-AE4CFBB9C4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'Story Boarding'!$A$158:$A$169</c:f>
              <c:strCache>
                <c:ptCount val="12"/>
                <c:pt idx="0">
                  <c:v>Cereals and products</c:v>
                </c:pt>
                <c:pt idx="1">
                  <c:v>Meat and fish</c:v>
                </c:pt>
                <c:pt idx="2">
                  <c:v>Egg</c:v>
                </c:pt>
                <c:pt idx="3">
                  <c:v>Milk and products</c:v>
                </c:pt>
                <c:pt idx="4">
                  <c:v>Oils and fats</c:v>
                </c:pt>
                <c:pt idx="5">
                  <c:v>Fruits</c:v>
                </c:pt>
                <c:pt idx="6">
                  <c:v>Vegetables</c:v>
                </c:pt>
                <c:pt idx="7">
                  <c:v>Sugar and Confectionery</c:v>
                </c:pt>
                <c:pt idx="8">
                  <c:v>Pulses and products</c:v>
                </c:pt>
                <c:pt idx="9">
                  <c:v>Spices</c:v>
                </c:pt>
                <c:pt idx="10">
                  <c:v>Food and Beverages</c:v>
                </c:pt>
                <c:pt idx="11">
                  <c:v>Prepared meals, sncks, sweets etc.</c:v>
                </c:pt>
              </c:strCache>
            </c:strRef>
          </c:cat>
          <c:val>
            <c:numRef>
              <c:f>'Story Boarding'!$B$158:$B$169</c:f>
              <c:numCache>
                <c:formatCode>0.00</c:formatCode>
                <c:ptCount val="12"/>
                <c:pt idx="0">
                  <c:v>11.870416100822668</c:v>
                </c:pt>
                <c:pt idx="1">
                  <c:v>-1.0306313205548236</c:v>
                </c:pt>
                <c:pt idx="2">
                  <c:v>7.6940004787033187</c:v>
                </c:pt>
                <c:pt idx="3">
                  <c:v>8.4800369189480449</c:v>
                </c:pt>
                <c:pt idx="4">
                  <c:v>-16.766663940217004</c:v>
                </c:pt>
                <c:pt idx="5">
                  <c:v>1.1971642879922251</c:v>
                </c:pt>
                <c:pt idx="6">
                  <c:v>-6.8283553704978486</c:v>
                </c:pt>
                <c:pt idx="7">
                  <c:v>2.4925523398882858</c:v>
                </c:pt>
                <c:pt idx="8">
                  <c:v>6.6250982187715532</c:v>
                </c:pt>
                <c:pt idx="9">
                  <c:v>16.450326039553033</c:v>
                </c:pt>
                <c:pt idx="10">
                  <c:v>3.31</c:v>
                </c:pt>
                <c:pt idx="11">
                  <c:v>6.2473304772554314</c:v>
                </c:pt>
              </c:numCache>
            </c:numRef>
          </c:val>
          <c:extLst>
            <c:ext xmlns:c16="http://schemas.microsoft.com/office/drawing/2014/chart" uri="{C3380CC4-5D6E-409C-BE32-E72D297353CC}">
              <c16:uniqueId val="{00000000-E90A-4B2F-B43F-AE4CFBB9C44F}"/>
            </c:ext>
          </c:extLst>
        </c:ser>
        <c:dLbls>
          <c:dLblPos val="outEnd"/>
          <c:showLegendKey val="0"/>
          <c:showVal val="1"/>
          <c:showCatName val="0"/>
          <c:showSerName val="0"/>
          <c:showPercent val="0"/>
          <c:showBubbleSize val="0"/>
        </c:dLbls>
        <c:gapWidth val="115"/>
        <c:overlap val="-20"/>
        <c:axId val="106946111"/>
        <c:axId val="106934111"/>
      </c:barChart>
      <c:catAx>
        <c:axId val="1069461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haroni" panose="020F0502020204030204" pitchFamily="2" charset="-79"/>
              </a:defRPr>
            </a:pPr>
            <a:endParaRPr lang="en-US"/>
          </a:p>
        </c:txPr>
        <c:crossAx val="106934111"/>
        <c:crosses val="autoZero"/>
        <c:auto val="1"/>
        <c:lblAlgn val="ctr"/>
        <c:lblOffset val="100"/>
        <c:noMultiLvlLbl val="0"/>
      </c:catAx>
      <c:valAx>
        <c:axId val="1069341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46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Inflation Change before and after Covid</a:t>
            </a:r>
          </a:p>
        </c:rich>
      </c:tx>
      <c:layout>
        <c:manualLayout>
          <c:xMode val="edge"/>
          <c:yMode val="edge"/>
          <c:x val="0.36422449585766897"/>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'Story Boarding'!$G$191</c:f>
              <c:strCache>
                <c:ptCount val="1"/>
                <c:pt idx="0">
                  <c:v>2019-2020(Mar)</c:v>
                </c:pt>
              </c:strCache>
            </c:strRef>
          </c:tx>
          <c:spPr>
            <a:ln w="50800" cap="rnd">
              <a:solidFill>
                <a:schemeClr val="accent5">
                  <a:lumMod val="60000"/>
                  <a:lumOff val="40000"/>
                </a:schemeClr>
              </a:solidFill>
              <a:round/>
            </a:ln>
            <a:effectLst>
              <a:outerShdw blurRad="57150" dist="19050" dir="5400000" algn="ctr" rotWithShape="0">
                <a:srgbClr val="000000">
                  <a:alpha val="63000"/>
                </a:srgbClr>
              </a:outerShdw>
            </a:effectLst>
          </c:spPr>
          <c:marker>
            <c:symbol val="none"/>
          </c:marker>
          <c:dLbls>
            <c:dLbl>
              <c:idx val="2"/>
              <c:layout>
                <c:manualLayout>
                  <c:x val="-2.4544932009315568E-2"/>
                  <c:y val="3.999714213580185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4D5-4916-A3DA-64A09E9540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'Story Boarding'!$H$190:$J$190</c:f>
              <c:strCache>
                <c:ptCount val="3"/>
                <c:pt idx="0">
                  <c:v>Inflation of Foods</c:v>
                </c:pt>
                <c:pt idx="1">
                  <c:v>Inflation of Health</c:v>
                </c:pt>
                <c:pt idx="2">
                  <c:v>Inflation of Essential Services</c:v>
                </c:pt>
              </c:strCache>
            </c:strRef>
          </c:cat>
          <c:val>
            <c:numRef>
              <c:f>'Story Boarding'!$H$191:$J$191</c:f>
              <c:numCache>
                <c:formatCode>0.00</c:formatCode>
                <c:ptCount val="3"/>
                <c:pt idx="0">
                  <c:v>7.907375993786947</c:v>
                </c:pt>
                <c:pt idx="1">
                  <c:v>4.1762276273520138</c:v>
                </c:pt>
                <c:pt idx="2">
                  <c:v>4.1915809614924884</c:v>
                </c:pt>
              </c:numCache>
            </c:numRef>
          </c:val>
          <c:smooth val="1"/>
          <c:extLst xmlns:c15="http://schemas.microsoft.com/office/drawing/2012/chart">
            <c:ext xmlns:c16="http://schemas.microsoft.com/office/drawing/2014/chart" uri="{C3380CC4-5D6E-409C-BE32-E72D297353CC}">
              <c16:uniqueId val="{00000001-94D5-4916-A3DA-64A09E9540B8}"/>
            </c:ext>
          </c:extLst>
        </c:ser>
        <c:ser>
          <c:idx val="1"/>
          <c:order val="1"/>
          <c:tx>
            <c:strRef>
              <c:f>'Story Boarding'!$G$192</c:f>
              <c:strCache>
                <c:ptCount val="1"/>
                <c:pt idx="0">
                  <c:v>2020-2021(Mar)</c:v>
                </c:pt>
              </c:strCache>
            </c:strRef>
          </c:tx>
          <c:spPr>
            <a:ln w="53975" cap="rnd">
              <a:solidFill>
                <a:srgbClr val="7030A0"/>
              </a:solidFill>
              <a:round/>
            </a:ln>
            <a:effectLst>
              <a:outerShdw blurRad="57150" dist="19050" dir="5400000" algn="ctr" rotWithShape="0">
                <a:srgbClr val="000000">
                  <a:alpha val="63000"/>
                </a:srgbClr>
              </a:outerShdw>
            </a:effectLst>
          </c:spPr>
          <c:marker>
            <c:symbol val="none"/>
          </c:marker>
          <c:dLbls>
            <c:dLbl>
              <c:idx val="0"/>
              <c:layout>
                <c:manualLayout>
                  <c:x val="-2.3218895704112227E-2"/>
                  <c:y val="5.880277701477570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4D5-4916-A3DA-64A09E9540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'Story Boarding'!$H$190:$J$190</c:f>
              <c:strCache>
                <c:ptCount val="3"/>
                <c:pt idx="0">
                  <c:v>Inflation of Foods</c:v>
                </c:pt>
                <c:pt idx="1">
                  <c:v>Inflation of Health</c:v>
                </c:pt>
                <c:pt idx="2">
                  <c:v>Inflation of Essential Services</c:v>
                </c:pt>
              </c:strCache>
            </c:strRef>
          </c:cat>
          <c:val>
            <c:numRef>
              <c:f>'Story Boarding'!$H$192:$J$192</c:f>
              <c:numCache>
                <c:formatCode>0.00</c:formatCode>
                <c:ptCount val="3"/>
                <c:pt idx="0">
                  <c:v>7.2351225425205321</c:v>
                </c:pt>
                <c:pt idx="1">
                  <c:v>6.4317180616740188</c:v>
                </c:pt>
                <c:pt idx="2">
                  <c:v>5.6126255380200698</c:v>
                </c:pt>
              </c:numCache>
            </c:numRef>
          </c:val>
          <c:smooth val="1"/>
          <c:extLst xmlns:c15="http://schemas.microsoft.com/office/drawing/2012/chart">
            <c:ext xmlns:c16="http://schemas.microsoft.com/office/drawing/2014/chart" uri="{C3380CC4-5D6E-409C-BE32-E72D297353CC}">
              <c16:uniqueId val="{00000003-94D5-4916-A3DA-64A09E9540B8}"/>
            </c:ext>
          </c:extLst>
        </c:ser>
        <c:dLbls>
          <c:dLblPos val="t"/>
          <c:showLegendKey val="0"/>
          <c:showVal val="1"/>
          <c:showCatName val="0"/>
          <c:showSerName val="0"/>
          <c:showPercent val="0"/>
          <c:showBubbleSize val="0"/>
        </c:dLbls>
        <c:smooth val="0"/>
        <c:axId val="984865119"/>
        <c:axId val="984865599"/>
        <c:extLst/>
      </c:lineChart>
      <c:catAx>
        <c:axId val="984865119"/>
        <c:scaling>
          <c:orientation val="minMax"/>
        </c:scaling>
        <c:delete val="1"/>
        <c:axPos val="b"/>
        <c:numFmt formatCode="General" sourceLinked="1"/>
        <c:majorTickMark val="none"/>
        <c:minorTickMark val="none"/>
        <c:tickLblPos val="nextTo"/>
        <c:crossAx val="984865599"/>
        <c:crosses val="autoZero"/>
        <c:auto val="1"/>
        <c:lblAlgn val="ctr"/>
        <c:lblOffset val="100"/>
        <c:noMultiLvlLbl val="0"/>
      </c:catAx>
      <c:valAx>
        <c:axId val="984865599"/>
        <c:scaling>
          <c:orientation val="minMax"/>
        </c:scaling>
        <c:delete val="1"/>
        <c:axPos val="l"/>
        <c:numFmt formatCode="0.00" sourceLinked="1"/>
        <c:majorTickMark val="none"/>
        <c:minorTickMark val="none"/>
        <c:tickLblPos val="nextTo"/>
        <c:crossAx val="984865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Monthly Food Inflation of latest 12 Months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Monthly Food Inflation of latest 12 Months</a:t>
          </a:r>
        </a:p>
      </cx:txPr>
    </cx:title>
    <cx:plotArea>
      <cx:plotAreaRegion>
        <cx:series layoutId="waterfall" uniqueId="{65F5ABE0-2895-48CA-9E37-565FEE2D0234}">
          <cx:tx>
            <cx:txData>
              <cx:f>_xlchart.v1.1</cx:f>
              <cx:v>Monthly Inflation</cx:v>
            </cx:txData>
          </cx:tx>
          <cx:dataLabels>
            <cx:visibility seriesName="0" categoryName="0" value="1"/>
          </cx:dataLabels>
          <cx:dataId val="0"/>
          <cx:layoutPr>
            <cx:visibility connectorLines="0"/>
            <cx:subtotals/>
          </cx:layoutPr>
        </cx:series>
      </cx:plotAreaRegion>
      <cx:axis id="0">
        <cx:catScaling gapWidth="0.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Monthly Food Inflation of latest 12 Months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Monthly Food Inflation of latest 12 Months</a:t>
          </a:r>
        </a:p>
      </cx:txPr>
    </cx:title>
    <cx:plotArea>
      <cx:plotAreaRegion>
        <cx:series layoutId="waterfall" uniqueId="{65F5ABE0-2895-48CA-9E37-565FEE2D0234}">
          <cx:tx>
            <cx:txData>
              <cx:f>_xlchart.v1.4</cx:f>
              <cx:v>Monthly Inflation</cx:v>
            </cx:txData>
          </cx:tx>
          <cx:spPr>
            <a:solidFill>
              <a:srgbClr val="7F16BA"/>
            </a:solidFill>
          </cx:spPr>
          <cx:dataPt idx="5">
            <cx:spPr>
              <a:solidFill>
                <a:srgbClr val="A02B93">
                  <a:lumMod val="60000"/>
                  <a:lumOff val="40000"/>
                </a:srgbClr>
              </a:solidFill>
            </cx:spPr>
          </cx:dataPt>
          <cx:dataPt idx="6">
            <cx:spPr>
              <a:solidFill>
                <a:srgbClr val="A02B93">
                  <a:lumMod val="60000"/>
                  <a:lumOff val="40000"/>
                  <a:alpha val="94000"/>
                </a:srgbClr>
              </a:solidFill>
            </cx:spPr>
          </cx:dataPt>
          <cx:dataPt idx="8">
            <cx:spPr>
              <a:solidFill>
                <a:srgbClr val="A02B93">
                  <a:lumMod val="60000"/>
                  <a:lumOff val="40000"/>
                </a:srgbClr>
              </a:solidFill>
            </cx:spPr>
          </cx:dataPt>
          <cx:dataPt idx="10">
            <cx:spPr>
              <a:ln>
                <a:noFill/>
              </a:ln>
            </cx:spPr>
          </cx:dataPt>
          <cx:dataLabels>
            <cx:visibility seriesName="0" categoryName="0" value="1"/>
          </cx:dataLabels>
          <cx:dataId val="0"/>
          <cx:layoutPr>
            <cx:visibility connectorLines="0"/>
            <cx:subtotals/>
          </cx:layoutPr>
        </cx:series>
      </cx:plotAreaRegion>
      <cx:axis id="0">
        <cx:catScaling gapWidth="0.5"/>
        <cx:tickLabels/>
        <cx:txPr>
          <a:bodyPr spcFirstLastPara="1" vertOverflow="ellipsis" horzOverflow="overflow" wrap="square" lIns="0" tIns="0" rIns="0" bIns="0" anchor="ctr" anchorCtr="1"/>
          <a:lstStyle/>
          <a:p>
            <a:pPr algn="ctr" rtl="0">
              <a:defRPr b="0"/>
            </a:pPr>
            <a:endParaRPr lang="en-US" sz="900" b="0" i="0" u="none" strike="noStrike" baseline="0">
              <a:solidFill>
                <a:sysClr val="windowText" lastClr="000000">
                  <a:lumMod val="65000"/>
                  <a:lumOff val="35000"/>
                </a:sysClr>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b="0"/>
            </a:pPr>
            <a:endParaRPr lang="en-US" sz="900" b="0" i="0" u="none" strike="noStrike" baseline="0">
              <a:solidFill>
                <a:sysClr val="windowText" lastClr="000000">
                  <a:lumMod val="65000"/>
                  <a:lumOff val="35000"/>
                </a:sysClr>
              </a:solidFill>
              <a:latin typeface="Aptos Narrow" panose="02110004020202020204"/>
            </a:endParaRPr>
          </a:p>
        </cx:txPr>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xml"/><Relationship Id="rId7"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1.xml"/><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6</xdr:col>
      <xdr:colOff>583511</xdr:colOff>
      <xdr:row>7</xdr:row>
      <xdr:rowOff>45318</xdr:rowOff>
    </xdr:from>
    <xdr:to>
      <xdr:col>10</xdr:col>
      <xdr:colOff>799033</xdr:colOff>
      <xdr:row>19</xdr:row>
      <xdr:rowOff>32016</xdr:rowOff>
    </xdr:to>
    <xdr:pic>
      <xdr:nvPicPr>
        <xdr:cNvPr id="3" name="Picture 2">
          <a:extLst>
            <a:ext uri="{FF2B5EF4-FFF2-40B4-BE49-F238E27FC236}">
              <a16:creationId xmlns:a16="http://schemas.microsoft.com/office/drawing/2014/main" id="{452D06EA-DFCF-03DB-FEB2-E49FBCE26F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80037" y="1308634"/>
          <a:ext cx="6231312" cy="2152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10582</xdr:rowOff>
    </xdr:from>
    <xdr:to>
      <xdr:col>6</xdr:col>
      <xdr:colOff>623319</xdr:colOff>
      <xdr:row>45</xdr:row>
      <xdr:rowOff>124883</xdr:rowOff>
    </xdr:to>
    <xdr:pic>
      <xdr:nvPicPr>
        <xdr:cNvPr id="5" name="Picture 4">
          <a:extLst>
            <a:ext uri="{FF2B5EF4-FFF2-40B4-BE49-F238E27FC236}">
              <a16:creationId xmlns:a16="http://schemas.microsoft.com/office/drawing/2014/main" id="{41B7F41B-80BB-1284-75CF-74C332C8D5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27749"/>
          <a:ext cx="6969760" cy="2093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31749</xdr:colOff>
      <xdr:row>65</xdr:row>
      <xdr:rowOff>25400</xdr:rowOff>
    </xdr:from>
    <xdr:to>
      <xdr:col>9</xdr:col>
      <xdr:colOff>9645</xdr:colOff>
      <xdr:row>80</xdr:row>
      <xdr:rowOff>69850</xdr:rowOff>
    </xdr:to>
    <xdr:graphicFrame macro="">
      <xdr:nvGraphicFramePr>
        <xdr:cNvPr id="6" name="Chart 5">
          <a:extLst>
            <a:ext uri="{FF2B5EF4-FFF2-40B4-BE49-F238E27FC236}">
              <a16:creationId xmlns:a16="http://schemas.microsoft.com/office/drawing/2014/main" id="{9C69A73A-294C-175D-F75E-3E4C685B0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86</xdr:row>
      <xdr:rowOff>0</xdr:rowOff>
    </xdr:from>
    <xdr:to>
      <xdr:col>6</xdr:col>
      <xdr:colOff>1118518</xdr:colOff>
      <xdr:row>99</xdr:row>
      <xdr:rowOff>148167</xdr:rowOff>
    </xdr:to>
    <xdr:pic>
      <xdr:nvPicPr>
        <xdr:cNvPr id="7" name="Picture 6">
          <a:extLst>
            <a:ext uri="{FF2B5EF4-FFF2-40B4-BE49-F238E27FC236}">
              <a16:creationId xmlns:a16="http://schemas.microsoft.com/office/drawing/2014/main" id="{DF7752A4-BBBF-6EC5-FCF6-AD30B311BF2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5472833"/>
          <a:ext cx="7461250" cy="2487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1135175</xdr:colOff>
      <xdr:row>100</xdr:row>
      <xdr:rowOff>15049</xdr:rowOff>
    </xdr:from>
    <xdr:to>
      <xdr:col>12</xdr:col>
      <xdr:colOff>1125148</xdr:colOff>
      <xdr:row>118</xdr:row>
      <xdr:rowOff>67493</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F7E81FA7-D51B-EDC1-2E06-5E9A8CE2A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618734</xdr:colOff>
      <xdr:row>156</xdr:row>
      <xdr:rowOff>27537</xdr:rowOff>
    </xdr:from>
    <xdr:to>
      <xdr:col>11</xdr:col>
      <xdr:colOff>298802</xdr:colOff>
      <xdr:row>178</xdr:row>
      <xdr:rowOff>70328</xdr:rowOff>
    </xdr:to>
    <xdr:graphicFrame macro="">
      <xdr:nvGraphicFramePr>
        <xdr:cNvPr id="12" name="Chart 11">
          <a:extLst>
            <a:ext uri="{FF2B5EF4-FFF2-40B4-BE49-F238E27FC236}">
              <a16:creationId xmlns:a16="http://schemas.microsoft.com/office/drawing/2014/main" id="{29E8A6DE-8AAB-1D4F-A84B-FA655E613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185</xdr:row>
      <xdr:rowOff>0</xdr:rowOff>
    </xdr:from>
    <xdr:to>
      <xdr:col>5</xdr:col>
      <xdr:colOff>935789</xdr:colOff>
      <xdr:row>196</xdr:row>
      <xdr:rowOff>7620</xdr:rowOff>
    </xdr:to>
    <xdr:pic>
      <xdr:nvPicPr>
        <xdr:cNvPr id="13" name="Picture 12">
          <a:extLst>
            <a:ext uri="{FF2B5EF4-FFF2-40B4-BE49-F238E27FC236}">
              <a16:creationId xmlns:a16="http://schemas.microsoft.com/office/drawing/2014/main" id="{8F1942CB-2F6E-445E-D5FE-0CA4CC624EA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32510329"/>
          <a:ext cx="6959934" cy="19376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263</xdr:row>
      <xdr:rowOff>46892</xdr:rowOff>
    </xdr:from>
    <xdr:to>
      <xdr:col>6</xdr:col>
      <xdr:colOff>1181901</xdr:colOff>
      <xdr:row>278</xdr:row>
      <xdr:rowOff>11724</xdr:rowOff>
    </xdr:to>
    <xdr:pic>
      <xdr:nvPicPr>
        <xdr:cNvPr id="15" name="Picture 14">
          <a:extLst>
            <a:ext uri="{FF2B5EF4-FFF2-40B4-BE49-F238E27FC236}">
              <a16:creationId xmlns:a16="http://schemas.microsoft.com/office/drawing/2014/main" id="{B97B29F3-FDC0-6F8A-E8E2-F5A85804E26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49424492"/>
          <a:ext cx="7502768" cy="2778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24653</xdr:colOff>
      <xdr:row>7</xdr:row>
      <xdr:rowOff>25097</xdr:rowOff>
    </xdr:from>
    <xdr:to>
      <xdr:col>6</xdr:col>
      <xdr:colOff>535595</xdr:colOff>
      <xdr:row>22</xdr:row>
      <xdr:rowOff>167872</xdr:rowOff>
    </xdr:to>
    <xdr:graphicFrame macro="">
      <xdr:nvGraphicFramePr>
        <xdr:cNvPr id="16" name="Chart 15">
          <a:extLst>
            <a:ext uri="{FF2B5EF4-FFF2-40B4-BE49-F238E27FC236}">
              <a16:creationId xmlns:a16="http://schemas.microsoft.com/office/drawing/2014/main" id="{F924D5C1-EBAB-6559-D9A6-A660A22D6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725121</xdr:colOff>
      <xdr:row>33</xdr:row>
      <xdr:rowOff>152087</xdr:rowOff>
    </xdr:from>
    <xdr:to>
      <xdr:col>7</xdr:col>
      <xdr:colOff>216290</xdr:colOff>
      <xdr:row>48</xdr:row>
      <xdr:rowOff>2674</xdr:rowOff>
    </xdr:to>
    <mc:AlternateContent xmlns:mc="http://schemas.openxmlformats.org/markup-compatibility/2006">
      <mc:Choice xmlns:a14="http://schemas.microsoft.com/office/drawing/2010/main" Requires="a14">
        <xdr:graphicFrame macro="">
          <xdr:nvGraphicFramePr>
            <xdr:cNvPr id="17" name="Month">
              <a:extLst>
                <a:ext uri="{FF2B5EF4-FFF2-40B4-BE49-F238E27FC236}">
                  <a16:creationId xmlns:a16="http://schemas.microsoft.com/office/drawing/2014/main" id="{0CDAAB63-086F-9228-6188-EF27EFF3CD5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726403" y="6062472"/>
              <a:ext cx="1998605" cy="2537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681754</xdr:colOff>
      <xdr:row>192</xdr:row>
      <xdr:rowOff>137026</xdr:rowOff>
    </xdr:from>
    <xdr:to>
      <xdr:col>6</xdr:col>
      <xdr:colOff>2483918</xdr:colOff>
      <xdr:row>204</xdr:row>
      <xdr:rowOff>145878</xdr:rowOff>
    </xdr:to>
    <mc:AlternateContent xmlns:mc="http://schemas.openxmlformats.org/markup-compatibility/2006">
      <mc:Choice xmlns:a14="http://schemas.microsoft.com/office/drawing/2010/main" Requires="a14">
        <xdr:graphicFrame macro="">
          <xdr:nvGraphicFramePr>
            <xdr:cNvPr id="18" name="Month 1">
              <a:extLst>
                <a:ext uri="{FF2B5EF4-FFF2-40B4-BE49-F238E27FC236}">
                  <a16:creationId xmlns:a16="http://schemas.microsoft.com/office/drawing/2014/main" id="{6D349F84-2DE7-3387-D5DF-63FD32C553F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683036" y="34557282"/>
              <a:ext cx="1802164" cy="2158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37439</xdr:colOff>
      <xdr:row>192</xdr:row>
      <xdr:rowOff>35891</xdr:rowOff>
    </xdr:from>
    <xdr:to>
      <xdr:col>13</xdr:col>
      <xdr:colOff>480882</xdr:colOff>
      <xdr:row>210</xdr:row>
      <xdr:rowOff>10026</xdr:rowOff>
    </xdr:to>
    <xdr:graphicFrame macro="">
      <xdr:nvGraphicFramePr>
        <xdr:cNvPr id="19" name="Chart 18">
          <a:extLst>
            <a:ext uri="{FF2B5EF4-FFF2-40B4-BE49-F238E27FC236}">
              <a16:creationId xmlns:a16="http://schemas.microsoft.com/office/drawing/2014/main" id="{69FC6209-31EC-1D1A-A8DC-686A5533C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991401</xdr:colOff>
      <xdr:row>5</xdr:row>
      <xdr:rowOff>140368</xdr:rowOff>
    </xdr:from>
    <xdr:to>
      <xdr:col>11</xdr:col>
      <xdr:colOff>1100889</xdr:colOff>
      <xdr:row>19</xdr:row>
      <xdr:rowOff>90238</xdr:rowOff>
    </xdr:to>
    <mc:AlternateContent xmlns:mc="http://schemas.openxmlformats.org/markup-compatibility/2006" xmlns:a14="http://schemas.microsoft.com/office/drawing/2010/main">
      <mc:Choice Requires="a14">
        <xdr:graphicFrame macro="">
          <xdr:nvGraphicFramePr>
            <xdr:cNvPr id="8" name="Sector 2">
              <a:extLst>
                <a:ext uri="{FF2B5EF4-FFF2-40B4-BE49-F238E27FC236}">
                  <a16:creationId xmlns:a16="http://schemas.microsoft.com/office/drawing/2014/main" id="{E228D549-04A0-DCA8-6A02-EC0ECE8DB3DC}"/>
                </a:ext>
              </a:extLst>
            </xdr:cNvPr>
            <xdr:cNvGraphicFramePr/>
          </xdr:nvGraphicFramePr>
          <xdr:xfrm>
            <a:off x="0" y="0"/>
            <a:ext cx="0" cy="0"/>
          </xdr:xfrm>
          <a:graphic>
            <a:graphicData uri="http://schemas.microsoft.com/office/drawing/2010/slicer">
              <sle:slicer xmlns:sle="http://schemas.microsoft.com/office/drawing/2010/slicer" name="Sector 2"/>
            </a:graphicData>
          </a:graphic>
        </xdr:graphicFrame>
      </mc:Choice>
      <mc:Fallback xmlns="">
        <xdr:sp macro="" textlink="">
          <xdr:nvSpPr>
            <xdr:cNvPr id="0" name=""/>
            <xdr:cNvSpPr>
              <a:spLocks noTextEdit="1"/>
            </xdr:cNvSpPr>
          </xdr:nvSpPr>
          <xdr:spPr>
            <a:xfrm>
              <a:off x="13303717" y="1042736"/>
              <a:ext cx="1994435" cy="2476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1</xdr:row>
      <xdr:rowOff>133047</xdr:rowOff>
    </xdr:from>
    <xdr:to>
      <xdr:col>26</xdr:col>
      <xdr:colOff>193523</xdr:colOff>
      <xdr:row>1</xdr:row>
      <xdr:rowOff>167640</xdr:rowOff>
    </xdr:to>
    <xdr:cxnSp macro="">
      <xdr:nvCxnSpPr>
        <xdr:cNvPr id="5" name="Straight Connector 4">
          <a:extLst>
            <a:ext uri="{FF2B5EF4-FFF2-40B4-BE49-F238E27FC236}">
              <a16:creationId xmlns:a16="http://schemas.microsoft.com/office/drawing/2014/main" id="{318A4D1A-E3C7-E04C-D12F-42E237756A39}"/>
            </a:ext>
          </a:extLst>
        </xdr:cNvPr>
        <xdr:cNvCxnSpPr/>
      </xdr:nvCxnSpPr>
      <xdr:spPr>
        <a:xfrm flipV="1">
          <a:off x="15240" y="314476"/>
          <a:ext cx="15902093" cy="34593"/>
        </a:xfrm>
        <a:prstGeom prst="line">
          <a:avLst/>
        </a:prstGeom>
        <a:ln w="57150">
          <a:solidFill>
            <a:srgbClr val="7030A0"/>
          </a:solidFill>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0</xdr:col>
      <xdr:colOff>38582</xdr:colOff>
      <xdr:row>2</xdr:row>
      <xdr:rowOff>45720</xdr:rowOff>
    </xdr:from>
    <xdr:to>
      <xdr:col>8</xdr:col>
      <xdr:colOff>520861</xdr:colOff>
      <xdr:row>18</xdr:row>
      <xdr:rowOff>24191</xdr:rowOff>
    </xdr:to>
    <xdr:graphicFrame macro="">
      <xdr:nvGraphicFramePr>
        <xdr:cNvPr id="6" name="Chart 5">
          <a:extLst>
            <a:ext uri="{FF2B5EF4-FFF2-40B4-BE49-F238E27FC236}">
              <a16:creationId xmlns:a16="http://schemas.microsoft.com/office/drawing/2014/main" id="{1301440B-AC1C-47D6-B15E-974EDE224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62772</xdr:rowOff>
    </xdr:from>
    <xdr:to>
      <xdr:col>26</xdr:col>
      <xdr:colOff>157238</xdr:colOff>
      <xdr:row>18</xdr:row>
      <xdr:rowOff>24191</xdr:rowOff>
    </xdr:to>
    <xdr:graphicFrame macro="">
      <xdr:nvGraphicFramePr>
        <xdr:cNvPr id="9" name="Chart 8">
          <a:extLst>
            <a:ext uri="{FF2B5EF4-FFF2-40B4-BE49-F238E27FC236}">
              <a16:creationId xmlns:a16="http://schemas.microsoft.com/office/drawing/2014/main" id="{E3FC7C7D-B875-4080-AEFB-BE8EA513D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499121</xdr:colOff>
      <xdr:row>2</xdr:row>
      <xdr:rowOff>72419</xdr:rowOff>
    </xdr:from>
    <xdr:to>
      <xdr:col>8</xdr:col>
      <xdr:colOff>508766</xdr:colOff>
      <xdr:row>17</xdr:row>
      <xdr:rowOff>178520</xdr:rowOff>
    </xdr:to>
    <xdr:cxnSp macro="">
      <xdr:nvCxnSpPr>
        <xdr:cNvPr id="11" name="Straight Connector 10">
          <a:extLst>
            <a:ext uri="{FF2B5EF4-FFF2-40B4-BE49-F238E27FC236}">
              <a16:creationId xmlns:a16="http://schemas.microsoft.com/office/drawing/2014/main" id="{AA9E3C62-8FA9-F4BF-E5E6-2046C8ABE6CA}"/>
            </a:ext>
          </a:extLst>
        </xdr:cNvPr>
        <xdr:cNvCxnSpPr/>
      </xdr:nvCxnSpPr>
      <xdr:spPr>
        <a:xfrm>
          <a:off x="5337216" y="423181"/>
          <a:ext cx="9645" cy="2827529"/>
        </a:xfrm>
        <a:prstGeom prst="line">
          <a:avLst/>
        </a:prstGeom>
        <a:ln w="57150">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2181122</xdr:colOff>
      <xdr:row>2</xdr:row>
      <xdr:rowOff>62774</xdr:rowOff>
    </xdr:from>
    <xdr:to>
      <xdr:col>9</xdr:col>
      <xdr:colOff>2189237</xdr:colOff>
      <xdr:row>18</xdr:row>
      <xdr:rowOff>12095</xdr:rowOff>
    </xdr:to>
    <xdr:cxnSp macro="">
      <xdr:nvCxnSpPr>
        <xdr:cNvPr id="13" name="Straight Connector 12">
          <a:extLst>
            <a:ext uri="{FF2B5EF4-FFF2-40B4-BE49-F238E27FC236}">
              <a16:creationId xmlns:a16="http://schemas.microsoft.com/office/drawing/2014/main" id="{14EC29A3-5A83-F256-EB75-9A4EA4F9FDFC}"/>
            </a:ext>
          </a:extLst>
        </xdr:cNvPr>
        <xdr:cNvCxnSpPr/>
      </xdr:nvCxnSpPr>
      <xdr:spPr>
        <a:xfrm>
          <a:off x="11325122" y="413536"/>
          <a:ext cx="8115" cy="2852178"/>
        </a:xfrm>
        <a:prstGeom prst="line">
          <a:avLst/>
        </a:prstGeom>
        <a:ln w="57150">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9645</xdr:colOff>
      <xdr:row>18</xdr:row>
      <xdr:rowOff>77164</xdr:rowOff>
    </xdr:from>
    <xdr:to>
      <xdr:col>26</xdr:col>
      <xdr:colOff>145142</xdr:colOff>
      <xdr:row>18</xdr:row>
      <xdr:rowOff>96762</xdr:rowOff>
    </xdr:to>
    <xdr:cxnSp macro="">
      <xdr:nvCxnSpPr>
        <xdr:cNvPr id="16" name="Straight Connector 15">
          <a:extLst>
            <a:ext uri="{FF2B5EF4-FFF2-40B4-BE49-F238E27FC236}">
              <a16:creationId xmlns:a16="http://schemas.microsoft.com/office/drawing/2014/main" id="{D00F32BF-D44D-1B9C-5E86-85B51464B74E}"/>
            </a:ext>
          </a:extLst>
        </xdr:cNvPr>
        <xdr:cNvCxnSpPr/>
      </xdr:nvCxnSpPr>
      <xdr:spPr>
        <a:xfrm>
          <a:off x="9645" y="3330783"/>
          <a:ext cx="15859307" cy="19598"/>
        </a:xfrm>
        <a:prstGeom prst="line">
          <a:avLst/>
        </a:prstGeom>
        <a:ln w="57150">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38582</xdr:colOff>
      <xdr:row>18</xdr:row>
      <xdr:rowOff>145142</xdr:rowOff>
    </xdr:from>
    <xdr:to>
      <xdr:col>13</xdr:col>
      <xdr:colOff>459286</xdr:colOff>
      <xdr:row>36</xdr:row>
      <xdr:rowOff>36285</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785C4071-6476-4E8A-A168-EA273956F0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502697</xdr:colOff>
      <xdr:row>18</xdr:row>
      <xdr:rowOff>161546</xdr:rowOff>
    </xdr:from>
    <xdr:to>
      <xdr:col>13</xdr:col>
      <xdr:colOff>502697</xdr:colOff>
      <xdr:row>36</xdr:row>
      <xdr:rowOff>11433</xdr:rowOff>
    </xdr:to>
    <xdr:cxnSp macro="">
      <xdr:nvCxnSpPr>
        <xdr:cNvPr id="23" name="Straight Connector 22">
          <a:extLst>
            <a:ext uri="{FF2B5EF4-FFF2-40B4-BE49-F238E27FC236}">
              <a16:creationId xmlns:a16="http://schemas.microsoft.com/office/drawing/2014/main" id="{BDD49809-6840-C931-6A29-AE12FD3FB86F}"/>
            </a:ext>
          </a:extLst>
        </xdr:cNvPr>
        <xdr:cNvCxnSpPr/>
      </xdr:nvCxnSpPr>
      <xdr:spPr>
        <a:xfrm>
          <a:off x="8364602" y="3415165"/>
          <a:ext cx="0" cy="3115601"/>
        </a:xfrm>
        <a:prstGeom prst="line">
          <a:avLst/>
        </a:prstGeom>
        <a:ln w="57150">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36</xdr:row>
      <xdr:rowOff>73069</xdr:rowOff>
    </xdr:from>
    <xdr:to>
      <xdr:col>26</xdr:col>
      <xdr:colOff>133047</xdr:colOff>
      <xdr:row>36</xdr:row>
      <xdr:rowOff>84667</xdr:rowOff>
    </xdr:to>
    <xdr:cxnSp macro="">
      <xdr:nvCxnSpPr>
        <xdr:cNvPr id="25" name="Straight Connector 24">
          <a:extLst>
            <a:ext uri="{FF2B5EF4-FFF2-40B4-BE49-F238E27FC236}">
              <a16:creationId xmlns:a16="http://schemas.microsoft.com/office/drawing/2014/main" id="{78413C2B-E287-0070-AD91-4AD09B8D913D}"/>
            </a:ext>
          </a:extLst>
        </xdr:cNvPr>
        <xdr:cNvCxnSpPr/>
      </xdr:nvCxnSpPr>
      <xdr:spPr>
        <a:xfrm>
          <a:off x="0" y="6592402"/>
          <a:ext cx="15856857" cy="11598"/>
        </a:xfrm>
        <a:prstGeom prst="line">
          <a:avLst/>
        </a:prstGeom>
        <a:ln w="57150">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36</xdr:row>
      <xdr:rowOff>125261</xdr:rowOff>
    </xdr:from>
    <xdr:to>
      <xdr:col>26</xdr:col>
      <xdr:colOff>157238</xdr:colOff>
      <xdr:row>54</xdr:row>
      <xdr:rowOff>96762</xdr:rowOff>
    </xdr:to>
    <xdr:graphicFrame macro="">
      <xdr:nvGraphicFramePr>
        <xdr:cNvPr id="31" name="Chart 30">
          <a:extLst>
            <a:ext uri="{FF2B5EF4-FFF2-40B4-BE49-F238E27FC236}">
              <a16:creationId xmlns:a16="http://schemas.microsoft.com/office/drawing/2014/main" id="{F6B7E693-6114-4684-8D09-45B8E6055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157238</xdr:rowOff>
    </xdr:from>
    <xdr:to>
      <xdr:col>26</xdr:col>
      <xdr:colOff>157238</xdr:colOff>
      <xdr:row>54</xdr:row>
      <xdr:rowOff>158230</xdr:rowOff>
    </xdr:to>
    <xdr:cxnSp macro="">
      <xdr:nvCxnSpPr>
        <xdr:cNvPr id="35" name="Straight Connector 34">
          <a:extLst>
            <a:ext uri="{FF2B5EF4-FFF2-40B4-BE49-F238E27FC236}">
              <a16:creationId xmlns:a16="http://schemas.microsoft.com/office/drawing/2014/main" id="{CD7682B9-584D-E2B5-4F32-852B20816704}"/>
            </a:ext>
          </a:extLst>
        </xdr:cNvPr>
        <xdr:cNvCxnSpPr/>
      </xdr:nvCxnSpPr>
      <xdr:spPr>
        <a:xfrm flipV="1">
          <a:off x="0" y="9990667"/>
          <a:ext cx="21432762" cy="992"/>
        </a:xfrm>
        <a:prstGeom prst="line">
          <a:avLst/>
        </a:prstGeom>
        <a:ln w="57150">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580570</xdr:colOff>
      <xdr:row>18</xdr:row>
      <xdr:rowOff>157237</xdr:rowOff>
    </xdr:from>
    <xdr:to>
      <xdr:col>26</xdr:col>
      <xdr:colOff>145143</xdr:colOff>
      <xdr:row>36</xdr:row>
      <xdr:rowOff>36286</xdr:rowOff>
    </xdr:to>
    <xdr:graphicFrame macro="">
      <xdr:nvGraphicFramePr>
        <xdr:cNvPr id="45" name="Chart 44">
          <a:extLst>
            <a:ext uri="{FF2B5EF4-FFF2-40B4-BE49-F238E27FC236}">
              <a16:creationId xmlns:a16="http://schemas.microsoft.com/office/drawing/2014/main" id="{0DA1AC41-DFBC-4834-93CD-4BC73FC90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544286</xdr:colOff>
      <xdr:row>2</xdr:row>
      <xdr:rowOff>48382</xdr:rowOff>
    </xdr:from>
    <xdr:to>
      <xdr:col>9</xdr:col>
      <xdr:colOff>2128762</xdr:colOff>
      <xdr:row>18</xdr:row>
      <xdr:rowOff>24191</xdr:rowOff>
    </xdr:to>
    <mc:AlternateContent xmlns:mc="http://schemas.openxmlformats.org/markup-compatibility/2006" xmlns:a14="http://schemas.microsoft.com/office/drawing/2010/main">
      <mc:Choice Requires="a14">
        <xdr:graphicFrame macro="">
          <xdr:nvGraphicFramePr>
            <xdr:cNvPr id="46" name="Sector 4">
              <a:extLst>
                <a:ext uri="{FF2B5EF4-FFF2-40B4-BE49-F238E27FC236}">
                  <a16:creationId xmlns:a16="http://schemas.microsoft.com/office/drawing/2014/main" id="{F309D41F-D2D5-4BF3-896F-C49F5F9F73AA}"/>
                </a:ext>
              </a:extLst>
            </xdr:cNvPr>
            <xdr:cNvGraphicFramePr/>
          </xdr:nvGraphicFramePr>
          <xdr:xfrm>
            <a:off x="0" y="0"/>
            <a:ext cx="0" cy="0"/>
          </xdr:xfrm>
          <a:graphic>
            <a:graphicData uri="http://schemas.microsoft.com/office/drawing/2010/slicer">
              <sle:slicer xmlns:sle="http://schemas.microsoft.com/office/drawing/2010/slicer" name="Sector 4"/>
            </a:graphicData>
          </a:graphic>
        </xdr:graphicFrame>
      </mc:Choice>
      <mc:Fallback xmlns="">
        <xdr:sp macro="" textlink="">
          <xdr:nvSpPr>
            <xdr:cNvPr id="0" name=""/>
            <xdr:cNvSpPr>
              <a:spLocks noTextEdit="1"/>
            </xdr:cNvSpPr>
          </xdr:nvSpPr>
          <xdr:spPr>
            <a:xfrm>
              <a:off x="9083524" y="399144"/>
              <a:ext cx="2189238" cy="2878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85</xdr:row>
      <xdr:rowOff>0</xdr:rowOff>
    </xdr:from>
    <xdr:to>
      <xdr:col>26</xdr:col>
      <xdr:colOff>290286</xdr:colOff>
      <xdr:row>85</xdr:row>
      <xdr:rowOff>48380</xdr:rowOff>
    </xdr:to>
    <xdr:cxnSp macro="">
      <xdr:nvCxnSpPr>
        <xdr:cNvPr id="54" name="Straight Connector 53">
          <a:extLst>
            <a:ext uri="{FF2B5EF4-FFF2-40B4-BE49-F238E27FC236}">
              <a16:creationId xmlns:a16="http://schemas.microsoft.com/office/drawing/2014/main" id="{738B1A74-2B85-AF44-E951-72F2195A4F2F}"/>
            </a:ext>
          </a:extLst>
        </xdr:cNvPr>
        <xdr:cNvCxnSpPr/>
      </xdr:nvCxnSpPr>
      <xdr:spPr>
        <a:xfrm flipV="1">
          <a:off x="0" y="15469810"/>
          <a:ext cx="21565810" cy="48380"/>
        </a:xfrm>
        <a:prstGeom prst="line">
          <a:avLst/>
        </a:prstGeom>
        <a:ln w="57150">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229809</xdr:colOff>
      <xdr:row>2</xdr:row>
      <xdr:rowOff>24190</xdr:rowOff>
    </xdr:from>
    <xdr:to>
      <xdr:col>26</xdr:col>
      <xdr:colOff>241905</xdr:colOff>
      <xdr:row>84</xdr:row>
      <xdr:rowOff>108857</xdr:rowOff>
    </xdr:to>
    <xdr:cxnSp macro="">
      <xdr:nvCxnSpPr>
        <xdr:cNvPr id="56" name="Straight Connector 55">
          <a:extLst>
            <a:ext uri="{FF2B5EF4-FFF2-40B4-BE49-F238E27FC236}">
              <a16:creationId xmlns:a16="http://schemas.microsoft.com/office/drawing/2014/main" id="{F78FD20A-774A-432A-FAA0-DEBF5A118862}"/>
            </a:ext>
          </a:extLst>
        </xdr:cNvPr>
        <xdr:cNvCxnSpPr/>
      </xdr:nvCxnSpPr>
      <xdr:spPr>
        <a:xfrm>
          <a:off x="21505333" y="374952"/>
          <a:ext cx="12096" cy="15022286"/>
        </a:xfrm>
        <a:prstGeom prst="line">
          <a:avLst/>
        </a:prstGeom>
        <a:ln w="57150">
          <a:solidFill>
            <a:srgbClr val="7030A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0</xdr:colOff>
      <xdr:row>55</xdr:row>
      <xdr:rowOff>157238</xdr:rowOff>
    </xdr:from>
    <xdr:to>
      <xdr:col>22</xdr:col>
      <xdr:colOff>12095</xdr:colOff>
      <xdr:row>60</xdr:row>
      <xdr:rowOff>24191</xdr:rowOff>
    </xdr:to>
    <xdr:sp macro="" textlink="">
      <xdr:nvSpPr>
        <xdr:cNvPr id="66" name="Rectangle 65">
          <a:extLst>
            <a:ext uri="{FF2B5EF4-FFF2-40B4-BE49-F238E27FC236}">
              <a16:creationId xmlns:a16="http://schemas.microsoft.com/office/drawing/2014/main" id="{DE381094-FC67-7913-F72B-939A094C1DDB}"/>
            </a:ext>
          </a:extLst>
        </xdr:cNvPr>
        <xdr:cNvSpPr/>
      </xdr:nvSpPr>
      <xdr:spPr>
        <a:xfrm>
          <a:off x="12808857" y="10172095"/>
          <a:ext cx="6059714" cy="786191"/>
        </a:xfrm>
        <a:prstGeom prst="rect">
          <a:avLst/>
        </a:prstGeom>
        <a:noFill/>
        <a:ln w="41275" cap="flat" cmpd="sng" algn="ctr">
          <a:solidFill>
            <a:srgbClr val="7030A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12094</xdr:colOff>
      <xdr:row>60</xdr:row>
      <xdr:rowOff>169334</xdr:rowOff>
    </xdr:from>
    <xdr:to>
      <xdr:col>22</xdr:col>
      <xdr:colOff>24190</xdr:colOff>
      <xdr:row>65</xdr:row>
      <xdr:rowOff>120953</xdr:rowOff>
    </xdr:to>
    <xdr:sp macro="" textlink="">
      <xdr:nvSpPr>
        <xdr:cNvPr id="67" name="Rectangle 66">
          <a:extLst>
            <a:ext uri="{FF2B5EF4-FFF2-40B4-BE49-F238E27FC236}">
              <a16:creationId xmlns:a16="http://schemas.microsoft.com/office/drawing/2014/main" id="{812CC30F-3DB6-EE83-A74C-F718B12B657E}"/>
            </a:ext>
          </a:extLst>
        </xdr:cNvPr>
        <xdr:cNvSpPr/>
      </xdr:nvSpPr>
      <xdr:spPr>
        <a:xfrm>
          <a:off x="12820951" y="11103429"/>
          <a:ext cx="6059715" cy="858762"/>
        </a:xfrm>
        <a:prstGeom prst="rect">
          <a:avLst/>
        </a:prstGeom>
        <a:noFill/>
        <a:ln w="41275" cap="flat" cmpd="sng" algn="ctr">
          <a:solidFill>
            <a:srgbClr val="7030A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atyam Kaushik" refreshedDate="45672.492467939817" createdVersion="8" refreshedVersion="8" minRefreshableVersion="3" recordCount="372">
  <cacheSource type="worksheet">
    <worksheetSource ref="A1:AH373" sheet="Cleaned Data"/>
  </cacheSource>
  <cacheFields count="34">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s" numFmtId="164">
      <sharedItems containsSemiMixedTypes="0" containsString="0" containsNumber="1" minValue="1266.9000000000001" maxValue="2169.2000000000003"/>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Luxury" numFmtId="164">
      <sharedItems containsSemiMixedTypes="0" containsString="0" containsNumber="1" minValue="417.50000000000006" maxValue="737.30000000000007"/>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s" numFmtId="164">
      <sharedItems containsSemiMixedTypes="0" containsString="0" containsNumber="1" minValue="316.7" maxValue="569.90000000000009"/>
    </cacheField>
    <cacheField name="Clothing and footwear" numFmtId="0">
      <sharedItems containsSemiMixedTypes="0" containsString="0" containsNumber="1" minValue="105.8" maxValue="190.8"/>
    </cacheField>
    <cacheField name="Housing" numFmtId="0">
      <sharedItems containsBlank="1" containsMixedTypes="1" containsNumber="1" minValue="100.3" maxValue="175.6"/>
    </cacheField>
    <cacheField name="Housing Goods" numFmtId="164">
      <sharedItems containsSemiMixedTypes="0" containsString="0" containsNumber="1" minValue="132.9" maxValue="355.4"/>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969618564"/>
    </ext>
  </extLst>
</pivotCacheDefinition>
</file>

<file path=xl/pivotCache/pivotCacheDefinition2.xml><?xml version="1.0" encoding="utf-8"?>
<pivotCacheDefinition xmlns="http://schemas.openxmlformats.org/spreadsheetml/2006/main" xmlns:r="http://schemas.openxmlformats.org/officeDocument/2006/relationships" r:id="rId1" refreshedBy="Satyam Kaushik" refreshedDate="45672.495716898149" createdVersion="8" refreshedVersion="8" minRefreshableVersion="3" recordCount="372">
  <cacheSource type="worksheet">
    <worksheetSource ref="A1:AJ373" sheet="Cleaned Data"/>
  </cacheSource>
  <cacheFields count="36">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s" numFmtId="164">
      <sharedItems containsSemiMixedTypes="0" containsString="0" containsNumber="1" minValue="1266.9000000000001" maxValue="2169.2000000000003"/>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Luxury" numFmtId="164">
      <sharedItems containsSemiMixedTypes="0" containsString="0" containsNumber="1" minValue="417.50000000000006" maxValue="737.30000000000007"/>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s" numFmtId="164">
      <sharedItems containsSemiMixedTypes="0" containsString="0" containsNumber="1" minValue="316.7" maxValue="569.90000000000009"/>
    </cacheField>
    <cacheField name="Clothing and footwear" numFmtId="0">
      <sharedItems containsSemiMixedTypes="0" containsString="0" containsNumber="1" minValue="105.8" maxValue="190.8"/>
    </cacheField>
    <cacheField name="Housing" numFmtId="0">
      <sharedItems containsBlank="1" containsMixedTypes="1" containsNumber="1" minValue="100.3" maxValue="175.6"/>
    </cacheField>
    <cacheField name="Housing Goods" numFmtId="164">
      <sharedItems containsSemiMixedTypes="0" containsString="0" containsNumber="1" minValue="132.9" maxValue="355.4"/>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Essential Services" numFmtId="0">
      <sharedItems containsSemiMixedTypes="0" containsString="0" containsNumber="1" minValue="416.90000000000003" maxValue="712.3"/>
    </cacheField>
    <cacheField name="Essential Services1" numFmtId="164">
      <sharedItems containsSemiMixedTypes="0" containsString="0" containsNumber="1" minValue="104.22499999999999" maxValue="178.07499999999999"/>
    </cacheField>
  </cacheFields>
  <extLst>
    <ext xmlns:x14="http://schemas.microsoft.com/office/spreadsheetml/2009/9/main" uri="{725AE2AE-9491-48be-B2B4-4EB974FC3084}">
      <x14:pivotCacheDefinition pivotCacheId="5410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266.9000000000001"/>
    <n v="105.5"/>
    <n v="105.1"/>
    <n v="417.99999999999994"/>
    <n v="106.5"/>
    <n v="105.8"/>
    <n v="318.70000000000005"/>
    <n v="106.4"/>
    <n v="100.3"/>
    <n v="205.1"/>
    <n v="105.5"/>
    <n v="104.8"/>
    <n v="104"/>
    <n v="103.3"/>
    <n v="103.4"/>
    <n v="103.8"/>
    <n v="104.7"/>
    <n v="104"/>
    <n v="105.1"/>
  </r>
  <r>
    <x v="1"/>
    <x v="0"/>
    <x v="0"/>
    <n v="110.5"/>
    <n v="109.1"/>
    <n v="113"/>
    <n v="103.6"/>
    <n v="103.4"/>
    <n v="102.3"/>
    <n v="102.9"/>
    <n v="105.8"/>
    <n v="105.1"/>
    <n v="101.8"/>
    <n v="105.1"/>
    <n v="107.9"/>
    <n v="1271.3"/>
    <n v="105.9"/>
    <n v="105.2"/>
    <n v="417.50000000000006"/>
    <n v="105.9"/>
    <n v="105"/>
    <n v="316.7"/>
    <n v="105.8"/>
    <n v="100.3"/>
    <n v="205.1"/>
    <n v="105.4"/>
    <n v="104.8"/>
    <n v="104.1"/>
    <n v="103.2"/>
    <n v="102.9"/>
    <n v="103.5"/>
    <n v="104.3"/>
    <n v="103.7"/>
    <n v="104"/>
  </r>
  <r>
    <x v="2"/>
    <x v="0"/>
    <x v="0"/>
    <n v="108.4"/>
    <n v="107.3"/>
    <n v="110"/>
    <n v="104.4"/>
    <n v="105.1"/>
    <n v="103.2"/>
    <n v="102.2"/>
    <n v="106"/>
    <n v="106.2"/>
    <n v="102.7"/>
    <n v="104.9"/>
    <n v="107.3"/>
    <n v="1268.4000000000001"/>
    <n v="105.6"/>
    <n v="105.1"/>
    <n v="417.6"/>
    <n v="106.3"/>
    <n v="105.5"/>
    <n v="318"/>
    <n v="106.2"/>
    <n v="100.3"/>
    <n v="205.1"/>
    <n v="105.5"/>
    <n v="104.8"/>
    <n v="104"/>
    <n v="103.2"/>
    <n v="103.1"/>
    <n v="103.6"/>
    <n v="104.5"/>
    <n v="103.9"/>
    <n v="104.6"/>
  </r>
  <r>
    <x v="0"/>
    <x v="0"/>
    <x v="1"/>
    <n v="109.2"/>
    <n v="108.7"/>
    <n v="110.2"/>
    <n v="105.4"/>
    <n v="106.7"/>
    <n v="104"/>
    <n v="102.4"/>
    <n v="105.9"/>
    <n v="105.7"/>
    <n v="103.1"/>
    <n v="105.1"/>
    <n v="107.7"/>
    <n v="1275.3"/>
    <n v="106.3"/>
    <n v="105.6"/>
    <n v="419.29999999999995"/>
    <n v="107.1"/>
    <n v="106.3"/>
    <n v="320.39999999999998"/>
    <n v="107"/>
    <n v="100.4"/>
    <n v="205.60000000000002"/>
    <n v="106.2"/>
    <n v="105.2"/>
    <n v="104.4"/>
    <n v="103.9"/>
    <n v="104"/>
    <n v="104.1"/>
    <n v="104.6"/>
    <n v="104.4"/>
    <n v="105.8"/>
  </r>
  <r>
    <x v="1"/>
    <x v="0"/>
    <x v="1"/>
    <n v="112.9"/>
    <n v="112.9"/>
    <n v="116.9"/>
    <n v="104"/>
    <n v="103.5"/>
    <n v="103.1"/>
    <n v="104.9"/>
    <n v="104.1"/>
    <n v="103.8"/>
    <n v="102.3"/>
    <n v="106"/>
    <n v="109"/>
    <n v="1284.6000000000001"/>
    <n v="107.2"/>
    <n v="106"/>
    <n v="419.6"/>
    <n v="106.6"/>
    <n v="105.5"/>
    <n v="318.5"/>
    <n v="106.4"/>
    <n v="100.4"/>
    <n v="205.60000000000002"/>
    <n v="105.7"/>
    <n v="105.2"/>
    <n v="104.7"/>
    <n v="104.4"/>
    <n v="103.3"/>
    <n v="103.7"/>
    <n v="104.3"/>
    <n v="104.3"/>
    <n v="104.7"/>
  </r>
  <r>
    <x v="2"/>
    <x v="0"/>
    <x v="1"/>
    <n v="110.4"/>
    <n v="110.2"/>
    <n v="112.8"/>
    <n v="104.9"/>
    <n v="105.5"/>
    <n v="103.6"/>
    <n v="103.2"/>
    <n v="105.3"/>
    <n v="105.1"/>
    <n v="102.8"/>
    <n v="105.5"/>
    <n v="108.3"/>
    <n v="1278.7"/>
    <n v="106.6"/>
    <n v="105.7"/>
    <n v="419.29999999999995"/>
    <n v="106.9"/>
    <n v="106"/>
    <n v="319.7"/>
    <n v="106.8"/>
    <n v="100.4"/>
    <n v="205.60000000000002"/>
    <n v="106"/>
    <n v="105.2"/>
    <n v="104.5"/>
    <n v="104.2"/>
    <n v="103.6"/>
    <n v="103.9"/>
    <n v="104.5"/>
    <n v="104.4"/>
    <n v="105.3"/>
  </r>
  <r>
    <x v="0"/>
    <x v="0"/>
    <x v="2"/>
    <n v="110.2"/>
    <n v="108.8"/>
    <n v="109.9"/>
    <n v="105.6"/>
    <n v="106.2"/>
    <n v="105.7"/>
    <n v="101.4"/>
    <n v="105.7"/>
    <n v="105"/>
    <n v="103.3"/>
    <n v="105.6"/>
    <n v="108.2"/>
    <n v="1276.6000000000001"/>
    <n v="106.6"/>
    <n v="106.5"/>
    <n v="420.40000000000003"/>
    <n v="107.6"/>
    <n v="106.8"/>
    <n v="321.89999999999998"/>
    <n v="107.5"/>
    <n v="100.4"/>
    <n v="206"/>
    <n v="106.1"/>
    <n v="105.6"/>
    <n v="104.7"/>
    <n v="104.6"/>
    <n v="104"/>
    <n v="104.3"/>
    <n v="104.3"/>
    <n v="104.6"/>
    <n v="106"/>
  </r>
  <r>
    <x v="1"/>
    <x v="0"/>
    <x v="2"/>
    <n v="113.9"/>
    <n v="111.4"/>
    <n v="113.2"/>
    <n v="104.3"/>
    <n v="102.7"/>
    <n v="104.9"/>
    <n v="103.8"/>
    <n v="103.5"/>
    <n v="102.6"/>
    <n v="102.4"/>
    <n v="107"/>
    <n v="109.8"/>
    <n v="1279.8"/>
    <n v="107.3"/>
    <n v="106.8"/>
    <n v="421.5"/>
    <n v="107.2"/>
    <n v="106"/>
    <n v="320.2"/>
    <n v="107"/>
    <n v="100.4"/>
    <n v="206.10000000000002"/>
    <n v="106"/>
    <n v="105.7"/>
    <n v="105.2"/>
    <n v="105.5"/>
    <n v="103.5"/>
    <n v="103.8"/>
    <n v="104.2"/>
    <n v="104.9"/>
    <n v="105"/>
  </r>
  <r>
    <x v="2"/>
    <x v="0"/>
    <x v="2"/>
    <n v="111.4"/>
    <n v="109.7"/>
    <n v="111.2"/>
    <n v="105.1"/>
    <n v="104.9"/>
    <n v="105.3"/>
    <n v="102.2"/>
    <n v="105"/>
    <n v="104.2"/>
    <n v="103"/>
    <n v="106.2"/>
    <n v="108.9"/>
    <n v="1277.8000000000002"/>
    <n v="106.9"/>
    <n v="106.6"/>
    <n v="420.8"/>
    <n v="107.4"/>
    <n v="106.5"/>
    <n v="321.2"/>
    <n v="107.3"/>
    <n v="100.4"/>
    <n v="206"/>
    <n v="106.1"/>
    <n v="105.6"/>
    <n v="104.9"/>
    <n v="105.1"/>
    <n v="103.7"/>
    <n v="104"/>
    <n v="104.3"/>
    <n v="104.7"/>
    <n v="105.5"/>
  </r>
  <r>
    <x v="0"/>
    <x v="0"/>
    <x v="3"/>
    <n v="110.2"/>
    <n v="109.5"/>
    <n v="106.9"/>
    <n v="106.3"/>
    <n v="105.7"/>
    <n v="108.3"/>
    <n v="103.4"/>
    <n v="105.7"/>
    <n v="104.2"/>
    <n v="103.2"/>
    <n v="106.5"/>
    <n v="108.8"/>
    <n v="1279.3"/>
    <n v="107.1"/>
    <n v="107.1"/>
    <n v="420.8"/>
    <n v="108.1"/>
    <n v="107.4"/>
    <n v="323.5"/>
    <n v="108"/>
    <n v="100.5"/>
    <n v="206.6"/>
    <n v="106.5"/>
    <n v="106.1"/>
    <n v="105.1"/>
    <n v="104.4"/>
    <n v="104.5"/>
    <n v="104.8"/>
    <n v="102.7"/>
    <n v="104.6"/>
    <n v="106.4"/>
  </r>
  <r>
    <x v="1"/>
    <x v="0"/>
    <x v="3"/>
    <n v="114.6"/>
    <n v="113.4"/>
    <n v="106"/>
    <n v="104.7"/>
    <n v="102.1"/>
    <n v="109.5"/>
    <n v="109.7"/>
    <n v="104.6"/>
    <n v="102"/>
    <n v="103.5"/>
    <n v="108.2"/>
    <n v="110.6"/>
    <n v="1289.5"/>
    <n v="108.8"/>
    <n v="108.5"/>
    <n v="423.9"/>
    <n v="107.9"/>
    <n v="106.4"/>
    <n v="322"/>
    <n v="107.7"/>
    <n v="100.5"/>
    <n v="207"/>
    <n v="106.4"/>
    <n v="106.5"/>
    <n v="105.7"/>
    <n v="105"/>
    <n v="104"/>
    <n v="105.2"/>
    <n v="103.2"/>
    <n v="105.1"/>
    <n v="105.7"/>
  </r>
  <r>
    <x v="2"/>
    <x v="0"/>
    <x v="3"/>
    <n v="111.6"/>
    <n v="110.9"/>
    <n v="106.6"/>
    <n v="105.7"/>
    <n v="104.4"/>
    <n v="108.9"/>
    <n v="105.5"/>
    <n v="105.3"/>
    <n v="103.5"/>
    <n v="103.3"/>
    <n v="107.2"/>
    <n v="109.6"/>
    <n v="1283"/>
    <n v="107.7"/>
    <n v="107.5"/>
    <n v="421.79999999999995"/>
    <n v="108"/>
    <n v="107"/>
    <n v="322.89999999999998"/>
    <n v="107.9"/>
    <n v="100.5"/>
    <n v="206.8"/>
    <n v="106.5"/>
    <n v="106.3"/>
    <n v="105.3"/>
    <n v="104.7"/>
    <n v="104.2"/>
    <n v="105"/>
    <n v="102.9"/>
    <n v="104.8"/>
    <n v="106.1"/>
  </r>
  <r>
    <x v="0"/>
    <x v="0"/>
    <x v="4"/>
    <n v="110.9"/>
    <n v="109.8"/>
    <n v="105.9"/>
    <n v="107.5"/>
    <n v="105.3"/>
    <n v="108.1"/>
    <n v="107.3"/>
    <n v="106.1"/>
    <n v="103.7"/>
    <n v="104"/>
    <n v="107.4"/>
    <n v="109.9"/>
    <n v="1286.5999999999999"/>
    <n v="108.1"/>
    <n v="108.1"/>
    <n v="422.6"/>
    <n v="108.8"/>
    <n v="107.9"/>
    <n v="325.29999999999995"/>
    <n v="108.6"/>
    <n v="100.5"/>
    <n v="207.3"/>
    <n v="107.5"/>
    <n v="106.8"/>
    <n v="105.7"/>
    <n v="104.1"/>
    <n v="105"/>
    <n v="105.5"/>
    <n v="102.1"/>
    <n v="104.8"/>
    <n v="107.2"/>
  </r>
  <r>
    <x v="1"/>
    <x v="0"/>
    <x v="4"/>
    <n v="115.4"/>
    <n v="114.2"/>
    <n v="102.7"/>
    <n v="105.5"/>
    <n v="101.5"/>
    <n v="110.6"/>
    <n v="123.7"/>
    <n v="105.2"/>
    <n v="101.9"/>
    <n v="105"/>
    <n v="109.1"/>
    <n v="111.3"/>
    <n v="1308.1000000000001"/>
    <n v="111.1"/>
    <n v="109.8"/>
    <n v="426.1"/>
    <n v="108.5"/>
    <n v="106.7"/>
    <n v="323.5"/>
    <n v="108.3"/>
    <n v="100.5"/>
    <n v="207.6"/>
    <n v="107.2"/>
    <n v="107.1"/>
    <n v="106.2"/>
    <n v="103.9"/>
    <n v="104.6"/>
    <n v="105.7"/>
    <n v="102.6"/>
    <n v="104.9"/>
    <n v="106.6"/>
  </r>
  <r>
    <x v="2"/>
    <x v="0"/>
    <x v="4"/>
    <n v="112.3"/>
    <n v="111.3"/>
    <n v="104.7"/>
    <n v="106.8"/>
    <n v="103.9"/>
    <n v="109.3"/>
    <n v="112.9"/>
    <n v="105.8"/>
    <n v="103.1"/>
    <n v="104.3"/>
    <n v="108.1"/>
    <n v="110.5"/>
    <n v="1294.0999999999999"/>
    <n v="109.2"/>
    <n v="108.6"/>
    <n v="423.8"/>
    <n v="108.7"/>
    <n v="107.4"/>
    <n v="324.60000000000002"/>
    <n v="108.5"/>
    <n v="100.5"/>
    <n v="207.4"/>
    <n v="107.4"/>
    <n v="106.9"/>
    <n v="105.9"/>
    <n v="104"/>
    <n v="104.8"/>
    <n v="105.6"/>
    <n v="102.3"/>
    <n v="104.8"/>
    <n v="106.9"/>
  </r>
  <r>
    <x v="0"/>
    <x v="0"/>
    <x v="5"/>
    <n v="112.3"/>
    <n v="112.1"/>
    <n v="108.1"/>
    <n v="108.3"/>
    <n v="105.9"/>
    <n v="109.2"/>
    <n v="118"/>
    <n v="106.8"/>
    <n v="104.1"/>
    <n v="105.4"/>
    <n v="108.2"/>
    <n v="111"/>
    <n v="1311.7999999999997"/>
    <n v="110.6"/>
    <n v="109"/>
    <n v="425.29999999999995"/>
    <n v="109.7"/>
    <n v="108.8"/>
    <n v="328"/>
    <n v="109.5"/>
    <n v="106.6"/>
    <n v="214.1"/>
    <n v="108.5"/>
    <n v="107.5"/>
    <n v="106.3"/>
    <n v="105"/>
    <n v="105.6"/>
    <n v="106.5"/>
    <n v="102.5"/>
    <n v="105.5"/>
    <n v="108.9"/>
  </r>
  <r>
    <x v="1"/>
    <x v="0"/>
    <x v="5"/>
    <n v="117"/>
    <n v="120.1"/>
    <n v="112.5"/>
    <n v="107.3"/>
    <n v="101.3"/>
    <n v="112.4"/>
    <n v="143.6"/>
    <n v="105.4"/>
    <n v="101.4"/>
    <n v="106.4"/>
    <n v="110"/>
    <n v="112.2"/>
    <n v="1354.6"/>
    <n v="115"/>
    <n v="110.9"/>
    <n v="429.40000000000003"/>
    <n v="109.2"/>
    <n v="107.2"/>
    <n v="325.3"/>
    <n v="108.9"/>
    <n v="106.6"/>
    <n v="214.3"/>
    <n v="108"/>
    <n v="107.7"/>
    <n v="106.5"/>
    <n v="105.2"/>
    <n v="105.2"/>
    <n v="108.1"/>
    <n v="103.3"/>
    <n v="106.1"/>
    <n v="109.7"/>
  </r>
  <r>
    <x v="2"/>
    <x v="0"/>
    <x v="5"/>
    <n v="113.8"/>
    <n v="114.9"/>
    <n v="109.8"/>
    <n v="107.9"/>
    <n v="104.2"/>
    <n v="110.7"/>
    <n v="126.7"/>
    <n v="106.3"/>
    <n v="103.2"/>
    <n v="105.7"/>
    <n v="109"/>
    <n v="111.6"/>
    <n v="1327"/>
    <n v="112.2"/>
    <n v="109.5"/>
    <n v="426.7"/>
    <n v="109.5"/>
    <n v="108.1"/>
    <n v="326.89999999999998"/>
    <n v="109.3"/>
    <n v="106.6"/>
    <n v="214.2"/>
    <n v="108.3"/>
    <n v="107.6"/>
    <n v="106.4"/>
    <n v="105.1"/>
    <n v="105.4"/>
    <n v="107.4"/>
    <n v="102.8"/>
    <n v="105.8"/>
    <n v="109.3"/>
  </r>
  <r>
    <x v="0"/>
    <x v="0"/>
    <x v="6"/>
    <n v="113.4"/>
    <n v="114.9"/>
    <n v="110.5"/>
    <n v="109.3"/>
    <n v="106.2"/>
    <n v="110.3"/>
    <n v="129.19999999999999"/>
    <n v="107.1"/>
    <n v="104.3"/>
    <n v="106.4"/>
    <n v="109.1"/>
    <n v="112.1"/>
    <n v="1336.8"/>
    <n v="113.1"/>
    <n v="109.8"/>
    <n v="427.79999999999995"/>
    <n v="110.5"/>
    <n v="109.5"/>
    <n v="330.3"/>
    <n v="110.3"/>
    <n v="107.7"/>
    <n v="216"/>
    <n v="109.5"/>
    <n v="108.3"/>
    <n v="106.9"/>
    <n v="106.8"/>
    <n v="106.4"/>
    <n v="107.8"/>
    <n v="102.5"/>
    <n v="106.5"/>
    <n v="110.7"/>
  </r>
  <r>
    <x v="1"/>
    <x v="0"/>
    <x v="6"/>
    <n v="117.8"/>
    <n v="119.2"/>
    <n v="114"/>
    <n v="108.3"/>
    <n v="101.1"/>
    <n v="113.2"/>
    <n v="160.9"/>
    <n v="105.1"/>
    <n v="101.3"/>
    <n v="107.5"/>
    <n v="110.4"/>
    <n v="113.1"/>
    <n v="1379"/>
    <n v="117.5"/>
    <n v="111.7"/>
    <n v="431.2"/>
    <n v="109.8"/>
    <n v="107.8"/>
    <n v="327.10000000000002"/>
    <n v="109.5"/>
    <n v="107.7"/>
    <n v="215.8"/>
    <n v="108.6"/>
    <n v="108.1"/>
    <n v="107.1"/>
    <n v="107.3"/>
    <n v="105.9"/>
    <n v="110.1"/>
    <n v="103.2"/>
    <n v="107.3"/>
    <n v="111.4"/>
  </r>
  <r>
    <x v="2"/>
    <x v="0"/>
    <x v="6"/>
    <n v="114.8"/>
    <n v="116.4"/>
    <n v="111.9"/>
    <n v="108.9"/>
    <n v="104.3"/>
    <n v="111.7"/>
    <n v="140"/>
    <n v="106.4"/>
    <n v="103.3"/>
    <n v="106.8"/>
    <n v="109.6"/>
    <n v="112.6"/>
    <n v="1351.8"/>
    <n v="114.7"/>
    <n v="110.3"/>
    <n v="428.8"/>
    <n v="110.2"/>
    <n v="108.8"/>
    <n v="329"/>
    <n v="110"/>
    <n v="107.7"/>
    <n v="215.9"/>
    <n v="109.2"/>
    <n v="108.2"/>
    <n v="107"/>
    <n v="107.1"/>
    <n v="106.1"/>
    <n v="109.1"/>
    <n v="102.8"/>
    <n v="106.9"/>
    <n v="111"/>
  </r>
  <r>
    <x v="0"/>
    <x v="0"/>
    <x v="7"/>
    <n v="114.3"/>
    <n v="115.4"/>
    <n v="111.1"/>
    <n v="110"/>
    <n v="106.4"/>
    <n v="110.8"/>
    <n v="138.9"/>
    <n v="107.4"/>
    <n v="104.1"/>
    <n v="106.9"/>
    <n v="109.7"/>
    <n v="112.6"/>
    <n v="1352.8"/>
    <n v="114.9"/>
    <n v="110.7"/>
    <n v="432.2"/>
    <n v="111.3"/>
    <n v="110.2"/>
    <n v="332.6"/>
    <n v="111.1"/>
    <n v="108.9"/>
    <n v="217.60000000000002"/>
    <n v="109.9"/>
    <n v="108.7"/>
    <n v="107.5"/>
    <n v="107.8"/>
    <n v="106.8"/>
    <n v="108.7"/>
    <n v="105"/>
    <n v="107.5"/>
    <n v="112.1"/>
  </r>
  <r>
    <x v="1"/>
    <x v="0"/>
    <x v="7"/>
    <n v="118.3"/>
    <n v="120.4"/>
    <n v="112.7"/>
    <n v="108.9"/>
    <n v="101.1"/>
    <n v="108.7"/>
    <n v="177"/>
    <n v="104.7"/>
    <n v="101"/>
    <n v="108.5"/>
    <n v="110.9"/>
    <n v="114.3"/>
    <n v="1395.2"/>
    <n v="119.6"/>
    <n v="112.4"/>
    <n v="435.8"/>
    <n v="110.6"/>
    <n v="108.3"/>
    <n v="329.09999999999997"/>
    <n v="110.2"/>
    <n v="108.9"/>
    <n v="217.60000000000002"/>
    <n v="109.3"/>
    <n v="108.7"/>
    <n v="107.6"/>
    <n v="108.1"/>
    <n v="106.5"/>
    <n v="110.8"/>
    <n v="106"/>
    <n v="108.3"/>
    <n v="112.7"/>
  </r>
  <r>
    <x v="2"/>
    <x v="0"/>
    <x v="7"/>
    <n v="115.6"/>
    <n v="117.2"/>
    <n v="111.7"/>
    <n v="109.6"/>
    <n v="104.5"/>
    <n v="109.8"/>
    <n v="151.80000000000001"/>
    <n v="106.5"/>
    <n v="103.1"/>
    <n v="107.4"/>
    <n v="110.2"/>
    <n v="113.4"/>
    <n v="1367.1999999999998"/>
    <n v="116.6"/>
    <n v="111.2"/>
    <n v="433.4"/>
    <n v="111"/>
    <n v="109.4"/>
    <n v="331.1"/>
    <n v="110.7"/>
    <n v="108.9"/>
    <n v="217.60000000000002"/>
    <n v="109.7"/>
    <n v="108.7"/>
    <n v="107.5"/>
    <n v="108"/>
    <n v="106.6"/>
    <n v="109.9"/>
    <n v="105.4"/>
    <n v="107.9"/>
    <n v="112.4"/>
  </r>
  <r>
    <x v="0"/>
    <x v="0"/>
    <x v="8"/>
    <n v="115.4"/>
    <n v="115.7"/>
    <n v="111.7"/>
    <n v="111"/>
    <n v="107.4"/>
    <n v="110.9"/>
    <n v="154"/>
    <n v="108.1"/>
    <n v="104.2"/>
    <n v="107.9"/>
    <n v="110.4"/>
    <n v="114"/>
    <n v="1378.1000000000001"/>
    <n v="117.8"/>
    <n v="111.7"/>
    <n v="436.5"/>
    <n v="112.7"/>
    <n v="111.4"/>
    <n v="336.6"/>
    <n v="112.5"/>
    <n v="109.7"/>
    <n v="219.3"/>
    <n v="111.1"/>
    <n v="109.6"/>
    <n v="108.3"/>
    <n v="109.3"/>
    <n v="107.7"/>
    <n v="109.8"/>
    <n v="106.7"/>
    <n v="108.7"/>
    <n v="114.2"/>
  </r>
  <r>
    <x v="1"/>
    <x v="0"/>
    <x v="8"/>
    <n v="118.6"/>
    <n v="119.1"/>
    <n v="113.2"/>
    <n v="109.6"/>
    <n v="101.7"/>
    <n v="103.2"/>
    <n v="174.3"/>
    <n v="105.1"/>
    <n v="100.8"/>
    <n v="109.1"/>
    <n v="111.1"/>
    <n v="115.4"/>
    <n v="1389.3"/>
    <n v="119.2"/>
    <n v="112.9"/>
    <n v="438.29999999999995"/>
    <n v="111.4"/>
    <n v="109"/>
    <n v="331.5"/>
    <n v="111.1"/>
    <n v="109.7"/>
    <n v="219.3"/>
    <n v="109.5"/>
    <n v="109.6"/>
    <n v="107.9"/>
    <n v="110.4"/>
    <n v="107.4"/>
    <n v="111.2"/>
    <n v="106.9"/>
    <n v="109.4"/>
    <n v="113.2"/>
  </r>
  <r>
    <x v="2"/>
    <x v="0"/>
    <x v="8"/>
    <n v="116.4"/>
    <n v="116.9"/>
    <n v="112.3"/>
    <n v="110.5"/>
    <n v="105.3"/>
    <n v="107.3"/>
    <n v="160.9"/>
    <n v="107.1"/>
    <n v="103.1"/>
    <n v="108.3"/>
    <n v="110.7"/>
    <n v="114.6"/>
    <n v="1381"/>
    <n v="118.3"/>
    <n v="112"/>
    <n v="437"/>
    <n v="112.2"/>
    <n v="110.4"/>
    <n v="334.5"/>
    <n v="111.9"/>
    <n v="109.7"/>
    <n v="219.3"/>
    <n v="110.5"/>
    <n v="109.6"/>
    <n v="108.1"/>
    <n v="109.9"/>
    <n v="107.5"/>
    <n v="110.6"/>
    <n v="106.8"/>
    <n v="109"/>
    <n v="113.7"/>
  </r>
  <r>
    <x v="0"/>
    <x v="0"/>
    <x v="9"/>
    <n v="116.3"/>
    <n v="115.4"/>
    <n v="112.6"/>
    <n v="111.7"/>
    <n v="107.7"/>
    <n v="113.2"/>
    <n v="164.9"/>
    <n v="108.3"/>
    <n v="103.9"/>
    <n v="108.2"/>
    <n v="111.1"/>
    <n v="114.9"/>
    <n v="1396.9"/>
    <n v="119.8"/>
    <n v="112.2"/>
    <n v="439.1"/>
    <n v="113.6"/>
    <n v="112.3"/>
    <n v="339.29999999999995"/>
    <n v="113.4"/>
    <n v="110.5"/>
    <n v="220.9"/>
    <n v="111.6"/>
    <n v="110.4"/>
    <n v="108.9"/>
    <n v="109.3"/>
    <n v="108.3"/>
    <n v="110.2"/>
    <n v="107.5"/>
    <n v="109.1"/>
    <n v="115.5"/>
  </r>
  <r>
    <x v="1"/>
    <x v="0"/>
    <x v="9"/>
    <n v="118.9"/>
    <n v="118.1"/>
    <n v="114.5"/>
    <n v="110.4"/>
    <n v="102.3"/>
    <n v="106.2"/>
    <n v="183.5"/>
    <n v="105.3"/>
    <n v="100.2"/>
    <n v="109.6"/>
    <n v="111.4"/>
    <n v="116"/>
    <n v="1405.8"/>
    <n v="120.8"/>
    <n v="113.5"/>
    <n v="440.2"/>
    <n v="112.5"/>
    <n v="109.7"/>
    <n v="334.2"/>
    <n v="112"/>
    <n v="110.5"/>
    <n v="220.7"/>
    <n v="109.7"/>
    <n v="110.2"/>
    <n v="108.2"/>
    <n v="109.7"/>
    <n v="108"/>
    <n v="111.3"/>
    <n v="107.3"/>
    <n v="109.4"/>
    <n v="114"/>
  </r>
  <r>
    <x v="2"/>
    <x v="0"/>
    <x v="9"/>
    <n v="117.1"/>
    <n v="116.3"/>
    <n v="113.3"/>
    <n v="111.2"/>
    <n v="105.7"/>
    <n v="109.9"/>
    <n v="171.2"/>
    <n v="107.3"/>
    <n v="102.7"/>
    <n v="108.7"/>
    <n v="111.2"/>
    <n v="115.4"/>
    <n v="1399"/>
    <n v="120.2"/>
    <n v="112.5"/>
    <n v="439.19999999999993"/>
    <n v="113.2"/>
    <n v="111.2"/>
    <n v="337.2"/>
    <n v="112.8"/>
    <n v="110.5"/>
    <n v="220.8"/>
    <n v="110.9"/>
    <n v="110.3"/>
    <n v="108.6"/>
    <n v="109.5"/>
    <n v="108.1"/>
    <n v="110.8"/>
    <n v="107.4"/>
    <n v="109.2"/>
    <n v="114.8"/>
  </r>
  <r>
    <x v="0"/>
    <x v="0"/>
    <x v="10"/>
    <n v="117.3"/>
    <n v="114.9"/>
    <n v="116.2"/>
    <n v="112.8"/>
    <n v="108.9"/>
    <n v="116.6"/>
    <n v="178.1"/>
    <n v="109.1"/>
    <n v="103.6"/>
    <n v="109"/>
    <n v="111.8"/>
    <n v="116"/>
    <n v="1425"/>
    <n v="122.5"/>
    <n v="112.8"/>
    <n v="441.5"/>
    <n v="114.6"/>
    <n v="113.1"/>
    <n v="342.1"/>
    <n v="114.4"/>
    <n v="111.1"/>
    <n v="222.39999999999998"/>
    <n v="112.6"/>
    <n v="111.3"/>
    <n v="109.7"/>
    <n v="109.6"/>
    <n v="108.7"/>
    <n v="111"/>
    <n v="108.2"/>
    <n v="109.8"/>
    <n v="117.4"/>
  </r>
  <r>
    <x v="1"/>
    <x v="0"/>
    <x v="10"/>
    <n v="119.8"/>
    <n v="116.3"/>
    <n v="122.6"/>
    <n v="112"/>
    <n v="103.2"/>
    <n v="110"/>
    <n v="192.8"/>
    <n v="106.3"/>
    <n v="99.5"/>
    <n v="110.3"/>
    <n v="111.8"/>
    <n v="117.1"/>
    <n v="1432.8"/>
    <n v="122.9"/>
    <n v="114.1"/>
    <n v="442.29999999999995"/>
    <n v="113.5"/>
    <n v="110.3"/>
    <n v="336.8"/>
    <n v="113"/>
    <n v="111.1"/>
    <n v="222"/>
    <n v="110"/>
    <n v="110.9"/>
    <n v="108.6"/>
    <n v="109.5"/>
    <n v="108.5"/>
    <n v="111.3"/>
    <n v="107.9"/>
    <n v="109.6"/>
    <n v="115"/>
  </r>
  <r>
    <x v="2"/>
    <x v="0"/>
    <x v="10"/>
    <n v="118.1"/>
    <n v="115.4"/>
    <n v="118.7"/>
    <n v="112.5"/>
    <n v="106.8"/>
    <n v="113.5"/>
    <n v="183.1"/>
    <n v="108.2"/>
    <n v="102.2"/>
    <n v="109.4"/>
    <n v="111.8"/>
    <n v="116.5"/>
    <n v="1426.9999999999998"/>
    <n v="122.6"/>
    <n v="113.1"/>
    <n v="441.6"/>
    <n v="114.2"/>
    <n v="111.9"/>
    <n v="339.90000000000003"/>
    <n v="113.8"/>
    <n v="111.1"/>
    <n v="222.2"/>
    <n v="111.6"/>
    <n v="111.1"/>
    <n v="109.3"/>
    <n v="109.5"/>
    <n v="108.6"/>
    <n v="111.2"/>
    <n v="108.1"/>
    <n v="109.7"/>
    <n v="116.3"/>
  </r>
  <r>
    <x v="0"/>
    <x v="0"/>
    <x v="11"/>
    <n v="118.4"/>
    <n v="115.9"/>
    <n v="120.4"/>
    <n v="113.8"/>
    <n v="109.5"/>
    <n v="115.5"/>
    <n v="145.69999999999999"/>
    <n v="109.5"/>
    <n v="102.9"/>
    <n v="109.8"/>
    <n v="112.1"/>
    <n v="116.8"/>
    <n v="1396.9000000000003"/>
    <n v="118.7"/>
    <n v="113.6"/>
    <n v="443"/>
    <n v="115.8"/>
    <n v="114"/>
    <n v="345.3"/>
    <n v="115.5"/>
    <n v="110.7"/>
    <n v="222.8"/>
    <n v="112.8"/>
    <n v="112.1"/>
    <n v="110.1"/>
    <n v="109.9"/>
    <n v="109.2"/>
    <n v="111.6"/>
    <n v="108.1"/>
    <n v="110.1"/>
    <n v="115.5"/>
  </r>
  <r>
    <x v="1"/>
    <x v="0"/>
    <x v="11"/>
    <n v="120.5"/>
    <n v="118.1"/>
    <n v="128.5"/>
    <n v="112.8"/>
    <n v="103.4"/>
    <n v="110.7"/>
    <n v="144.80000000000001"/>
    <n v="107.1"/>
    <n v="98.6"/>
    <n v="111.9"/>
    <n v="112.1"/>
    <n v="118.1"/>
    <n v="1392.3"/>
    <n v="117.8"/>
    <n v="115"/>
    <n v="443.7"/>
    <n v="114.2"/>
    <n v="110.9"/>
    <n v="338.8"/>
    <n v="113.7"/>
    <n v="110.7"/>
    <n v="222"/>
    <n v="110.4"/>
    <n v="111.3"/>
    <n v="109"/>
    <n v="109.7"/>
    <n v="108.9"/>
    <n v="111.4"/>
    <n v="107.7"/>
    <n v="109.8"/>
    <n v="113.3"/>
  </r>
  <r>
    <x v="2"/>
    <x v="0"/>
    <x v="11"/>
    <n v="119.1"/>
    <n v="116.7"/>
    <n v="123.5"/>
    <n v="113.4"/>
    <n v="107.3"/>
    <n v="113.3"/>
    <n v="145.4"/>
    <n v="108.7"/>
    <n v="101.5"/>
    <n v="110.5"/>
    <n v="112.1"/>
    <n v="117.4"/>
    <n v="1395.2"/>
    <n v="118.4"/>
    <n v="114"/>
    <n v="443"/>
    <n v="115.2"/>
    <n v="112.7"/>
    <n v="342.7"/>
    <n v="114.8"/>
    <n v="110.7"/>
    <n v="222.4"/>
    <n v="111.9"/>
    <n v="111.7"/>
    <n v="109.7"/>
    <n v="109.8"/>
    <n v="109"/>
    <n v="111.5"/>
    <n v="107.9"/>
    <n v="110"/>
    <n v="114.5"/>
  </r>
  <r>
    <x v="0"/>
    <x v="1"/>
    <x v="0"/>
    <n v="118.9"/>
    <n v="117.1"/>
    <n v="120.5"/>
    <n v="114.4"/>
    <n v="109"/>
    <n v="115.5"/>
    <n v="123.9"/>
    <n v="109.6"/>
    <n v="101.8"/>
    <n v="110.2"/>
    <n v="112.4"/>
    <n v="117.3"/>
    <n v="1374.2"/>
    <n v="116"/>
    <n v="114"/>
    <n v="444.3"/>
    <n v="116.5"/>
    <n v="114.5"/>
    <n v="347.2"/>
    <n v="116.2"/>
    <n v="111.6"/>
    <n v="224.2"/>
    <n v="113"/>
    <n v="112.6"/>
    <n v="110.6"/>
    <n v="110.5"/>
    <n v="109.6"/>
    <n v="111.8"/>
    <n v="108.3"/>
    <n v="110.6"/>
    <n v="114.2"/>
  </r>
  <r>
    <x v="1"/>
    <x v="1"/>
    <x v="0"/>
    <n v="121.2"/>
    <n v="122"/>
    <n v="129.9"/>
    <n v="113.6"/>
    <n v="102.9"/>
    <n v="112.1"/>
    <n v="118.9"/>
    <n v="107.5"/>
    <n v="96.9"/>
    <n v="112.7"/>
    <n v="112.1"/>
    <n v="119"/>
    <n v="1372.2"/>
    <n v="115.5"/>
    <n v="115.7"/>
    <n v="445.6"/>
    <n v="114.8"/>
    <n v="111.3"/>
    <n v="340.4"/>
    <n v="114.3"/>
    <n v="111.6"/>
    <n v="223.5"/>
    <n v="111"/>
    <n v="111.9"/>
    <n v="109.7"/>
    <n v="110.8"/>
    <n v="109.8"/>
    <n v="111.5"/>
    <n v="108"/>
    <n v="110.5"/>
    <n v="112.9"/>
  </r>
  <r>
    <x v="2"/>
    <x v="1"/>
    <x v="0"/>
    <n v="119.6"/>
    <n v="118.8"/>
    <n v="124.1"/>
    <n v="114.1"/>
    <n v="106.8"/>
    <n v="113.9"/>
    <n v="122.2"/>
    <n v="108.9"/>
    <n v="100.2"/>
    <n v="111"/>
    <n v="112.3"/>
    <n v="118.1"/>
    <n v="1373.5"/>
    <n v="115.8"/>
    <n v="114.5"/>
    <n v="444.7"/>
    <n v="115.8"/>
    <n v="113.2"/>
    <n v="344.4"/>
    <n v="115.4"/>
    <n v="111.6"/>
    <n v="223.89999999999998"/>
    <n v="112.2"/>
    <n v="112.3"/>
    <n v="110.3"/>
    <n v="110.7"/>
    <n v="109.7"/>
    <n v="111.6"/>
    <n v="108.2"/>
    <n v="110.6"/>
    <n v="113.6"/>
  </r>
  <r>
    <x v="0"/>
    <x v="1"/>
    <x v="1"/>
    <n v="119.4"/>
    <n v="117.7"/>
    <n v="121.2"/>
    <n v="115"/>
    <n v="109"/>
    <n v="116.6"/>
    <n v="116"/>
    <n v="109.8"/>
    <n v="101.1"/>
    <n v="110.4"/>
    <n v="112.9"/>
    <n v="117.8"/>
    <n v="1369.3"/>
    <n v="115.3"/>
    <n v="114.2"/>
    <n v="445.7"/>
    <n v="117.1"/>
    <n v="114.5"/>
    <n v="348.3"/>
    <n v="116.7"/>
    <n v="112.5"/>
    <n v="225.4"/>
    <n v="113.2"/>
    <n v="112.9"/>
    <n v="110.9"/>
    <n v="110.8"/>
    <n v="109.9"/>
    <n v="112"/>
    <n v="108.7"/>
    <n v="110.9"/>
    <n v="114"/>
  </r>
  <r>
    <x v="1"/>
    <x v="1"/>
    <x v="1"/>
    <n v="121.9"/>
    <n v="122"/>
    <n v="124.5"/>
    <n v="115.2"/>
    <n v="102.5"/>
    <n v="114.1"/>
    <n v="111.5"/>
    <n v="108.2"/>
    <n v="95.4"/>
    <n v="113.5"/>
    <n v="112.1"/>
    <n v="119.9"/>
    <n v="1363.9000000000003"/>
    <n v="115.2"/>
    <n v="116.2"/>
    <n v="447.3"/>
    <n v="115.3"/>
    <n v="111.7"/>
    <n v="341.7"/>
    <n v="114.7"/>
    <n v="112.5"/>
    <n v="225.1"/>
    <n v="111.1"/>
    <n v="112.6"/>
    <n v="110.4"/>
    <n v="111.3"/>
    <n v="110.3"/>
    <n v="111.6"/>
    <n v="108.7"/>
    <n v="111"/>
    <n v="113.1"/>
  </r>
  <r>
    <x v="2"/>
    <x v="1"/>
    <x v="1"/>
    <n v="120.2"/>
    <n v="119.2"/>
    <n v="122.5"/>
    <n v="115.1"/>
    <n v="106.6"/>
    <n v="115.4"/>
    <n v="114.5"/>
    <n v="109.3"/>
    <n v="99.2"/>
    <n v="111.4"/>
    <n v="112.6"/>
    <n v="118.8"/>
    <n v="1367.5"/>
    <n v="115.3"/>
    <n v="114.7"/>
    <n v="446.09999999999997"/>
    <n v="116.4"/>
    <n v="113.3"/>
    <n v="345.6"/>
    <n v="115.9"/>
    <n v="112.5"/>
    <n v="225.3"/>
    <n v="112.4"/>
    <n v="112.8"/>
    <n v="110.7"/>
    <n v="111.1"/>
    <n v="110.1"/>
    <n v="111.8"/>
    <n v="108.7"/>
    <n v="110.9"/>
    <n v="113.6"/>
  </r>
  <r>
    <x v="0"/>
    <x v="1"/>
    <x v="2"/>
    <n v="120.1"/>
    <n v="118.1"/>
    <n v="120.7"/>
    <n v="116.1"/>
    <n v="109.3"/>
    <n v="119.6"/>
    <n v="117.9"/>
    <n v="110.2"/>
    <n v="101.2"/>
    <n v="110.7"/>
    <n v="113"/>
    <n v="118.3"/>
    <n v="1378.3999999999999"/>
    <n v="116.2"/>
    <n v="114.6"/>
    <n v="446.70000000000005"/>
    <n v="117.5"/>
    <n v="114.9"/>
    <n v="349.6"/>
    <n v="117.2"/>
    <n v="113.2"/>
    <n v="226.60000000000002"/>
    <n v="113.4"/>
    <n v="113.4"/>
    <n v="111.4"/>
    <n v="111.2"/>
    <n v="110.2"/>
    <n v="112.4"/>
    <n v="108.9"/>
    <n v="111.3"/>
    <n v="114.6"/>
  </r>
  <r>
    <x v="1"/>
    <x v="1"/>
    <x v="2"/>
    <n v="122.1"/>
    <n v="121.4"/>
    <n v="121.5"/>
    <n v="116.2"/>
    <n v="102.8"/>
    <n v="117.7"/>
    <n v="113.3"/>
    <n v="108.9"/>
    <n v="96.3"/>
    <n v="114.1"/>
    <n v="112.2"/>
    <n v="120.5"/>
    <n v="1370.8"/>
    <n v="116"/>
    <n v="116.7"/>
    <n v="449"/>
    <n v="115.8"/>
    <n v="112.1"/>
    <n v="343.09999999999997"/>
    <n v="115.2"/>
    <n v="113.2"/>
    <n v="226.2"/>
    <n v="110.9"/>
    <n v="113"/>
    <n v="110.8"/>
    <n v="111.6"/>
    <n v="110.9"/>
    <n v="111.8"/>
    <n v="109.2"/>
    <n v="111.4"/>
    <n v="113.7"/>
  </r>
  <r>
    <x v="2"/>
    <x v="1"/>
    <x v="2"/>
    <n v="120.7"/>
    <n v="119.3"/>
    <n v="121"/>
    <n v="116.1"/>
    <n v="106.9"/>
    <n v="118.7"/>
    <n v="116.3"/>
    <n v="109.8"/>
    <n v="99.6"/>
    <n v="111.8"/>
    <n v="112.7"/>
    <n v="119.3"/>
    <n v="1375.6"/>
    <n v="116.1"/>
    <n v="115.2"/>
    <n v="447.5"/>
    <n v="116.8"/>
    <n v="113.7"/>
    <n v="346.9"/>
    <n v="116.4"/>
    <n v="113.2"/>
    <n v="226.4"/>
    <n v="112.5"/>
    <n v="113.2"/>
    <n v="111.2"/>
    <n v="111.4"/>
    <n v="110.6"/>
    <n v="112"/>
    <n v="109"/>
    <n v="111.3"/>
    <n v="114.2"/>
  </r>
  <r>
    <x v="0"/>
    <x v="1"/>
    <x v="3"/>
    <n v="120.2"/>
    <n v="118.9"/>
    <n v="118.1"/>
    <n v="117"/>
    <n v="109.7"/>
    <n v="125.5"/>
    <n v="120.5"/>
    <n v="111"/>
    <n v="102.6"/>
    <n v="111.2"/>
    <n v="113.5"/>
    <n v="118.7"/>
    <n v="1390.6000000000001"/>
    <n v="117.2"/>
    <n v="115.4"/>
    <n v="448.29999999999995"/>
    <n v="118.1"/>
    <n v="116.1"/>
    <n v="352"/>
    <n v="117.8"/>
    <n v="113.9"/>
    <n v="227.60000000000002"/>
    <n v="113.4"/>
    <n v="113.7"/>
    <n v="111.8"/>
    <n v="111.2"/>
    <n v="110.5"/>
    <n v="113"/>
    <n v="108.9"/>
    <n v="111.5"/>
    <n v="115.4"/>
  </r>
  <r>
    <x v="1"/>
    <x v="1"/>
    <x v="3"/>
    <n v="122.5"/>
    <n v="121.7"/>
    <n v="113.3"/>
    <n v="117"/>
    <n v="103.1"/>
    <n v="126.7"/>
    <n v="121.2"/>
    <n v="111"/>
    <n v="100.3"/>
    <n v="115.3"/>
    <n v="112.7"/>
    <n v="121"/>
    <n v="1391.3000000000002"/>
    <n v="118.2"/>
    <n v="117.6"/>
    <n v="450.6"/>
    <n v="116.3"/>
    <n v="112.5"/>
    <n v="344.5"/>
    <n v="115.7"/>
    <n v="113.9"/>
    <n v="227.3"/>
    <n v="110.9"/>
    <n v="113.4"/>
    <n v="111"/>
    <n v="111.2"/>
    <n v="111.2"/>
    <n v="112.5"/>
    <n v="109.1"/>
    <n v="111.4"/>
    <n v="114.7"/>
  </r>
  <r>
    <x v="2"/>
    <x v="1"/>
    <x v="3"/>
    <n v="120.9"/>
    <n v="119.9"/>
    <n v="116.2"/>
    <n v="117"/>
    <n v="107.3"/>
    <n v="126.1"/>
    <n v="120.7"/>
    <n v="111"/>
    <n v="101.8"/>
    <n v="112.6"/>
    <n v="113.2"/>
    <n v="119.8"/>
    <n v="1390.9"/>
    <n v="117.6"/>
    <n v="116"/>
    <n v="449.1"/>
    <n v="117.4"/>
    <n v="114.6"/>
    <n v="349"/>
    <n v="117"/>
    <n v="113.9"/>
    <n v="227.5"/>
    <n v="112.5"/>
    <n v="113.6"/>
    <n v="111.5"/>
    <n v="111.2"/>
    <n v="110.9"/>
    <n v="112.7"/>
    <n v="109"/>
    <n v="111.5"/>
    <n v="115.1"/>
  </r>
  <r>
    <x v="0"/>
    <x v="1"/>
    <x v="4"/>
    <n v="120.3"/>
    <n v="120.2"/>
    <n v="116.9"/>
    <n v="118"/>
    <n v="110.1"/>
    <n v="126.3"/>
    <n v="123.9"/>
    <n v="111.5"/>
    <n v="103.5"/>
    <n v="111.6"/>
    <n v="114.2"/>
    <n v="119.2"/>
    <n v="1399.7"/>
    <n v="118.2"/>
    <n v="116.3"/>
    <n v="450.29999999999995"/>
    <n v="118.7"/>
    <n v="116.8"/>
    <n v="354"/>
    <n v="118.5"/>
    <n v="114.3"/>
    <n v="228.39999999999998"/>
    <n v="113.4"/>
    <n v="114.1"/>
    <n v="112.1"/>
    <n v="111.4"/>
    <n v="110.9"/>
    <n v="113.1"/>
    <n v="108.9"/>
    <n v="111.8"/>
    <n v="116"/>
  </r>
  <r>
    <x v="1"/>
    <x v="1"/>
    <x v="4"/>
    <n v="122.7"/>
    <n v="124.1"/>
    <n v="114.2"/>
    <n v="119.1"/>
    <n v="103.5"/>
    <n v="129.19999999999999"/>
    <n v="127"/>
    <n v="112.6"/>
    <n v="101.3"/>
    <n v="117"/>
    <n v="112.9"/>
    <n v="121.7"/>
    <n v="1412.3999999999999"/>
    <n v="120"/>
    <n v="118.3"/>
    <n v="452"/>
    <n v="116.8"/>
    <n v="112.9"/>
    <n v="345.9"/>
    <n v="116.2"/>
    <n v="114.3"/>
    <n v="228.39999999999998"/>
    <n v="111.1"/>
    <n v="114.1"/>
    <n v="111.2"/>
    <n v="111.3"/>
    <n v="111.5"/>
    <n v="112.9"/>
    <n v="109.3"/>
    <n v="111.7"/>
    <n v="115.6"/>
  </r>
  <r>
    <x v="2"/>
    <x v="1"/>
    <x v="4"/>
    <n v="121.1"/>
    <n v="121.6"/>
    <n v="115.9"/>
    <n v="118.4"/>
    <n v="107.7"/>
    <n v="127.7"/>
    <n v="125"/>
    <n v="111.9"/>
    <n v="102.8"/>
    <n v="113.4"/>
    <n v="113.7"/>
    <n v="120.4"/>
    <n v="1404.8"/>
    <n v="118.9"/>
    <n v="116.8"/>
    <n v="450.79999999999995"/>
    <n v="118"/>
    <n v="115.2"/>
    <n v="350.79999999999995"/>
    <n v="117.6"/>
    <n v="114.3"/>
    <n v="228.39999999999998"/>
    <n v="112.5"/>
    <n v="114.1"/>
    <n v="111.8"/>
    <n v="111.3"/>
    <n v="111.2"/>
    <n v="113"/>
    <n v="109.1"/>
    <n v="111.8"/>
    <n v="115.8"/>
  </r>
  <r>
    <x v="0"/>
    <x v="1"/>
    <x v="5"/>
    <n v="120.7"/>
    <n v="121.6"/>
    <n v="116.1"/>
    <n v="119.3"/>
    <n v="110.3"/>
    <n v="125.8"/>
    <n v="129.30000000000001"/>
    <n v="112.2"/>
    <n v="103.6"/>
    <n v="112.3"/>
    <n v="114.9"/>
    <n v="120.1"/>
    <n v="1410.7999999999997"/>
    <n v="119.5"/>
    <n v="117.3"/>
    <n v="451.6"/>
    <n v="119.7"/>
    <n v="117.3"/>
    <n v="356.3"/>
    <n v="119.3"/>
    <n v="113.9"/>
    <n v="228.8"/>
    <n v="114.4"/>
    <n v="114.9"/>
    <n v="112.8"/>
    <n v="112.2"/>
    <n v="111.4"/>
    <n v="114.3"/>
    <n v="108"/>
    <n v="112.3"/>
    <n v="117"/>
  </r>
  <r>
    <x v="1"/>
    <x v="1"/>
    <x v="5"/>
    <n v="123.1"/>
    <n v="125.9"/>
    <n v="115.4"/>
    <n v="120.4"/>
    <n v="103.4"/>
    <n v="131.19999999999999"/>
    <n v="137.5"/>
    <n v="112.8"/>
    <n v="101.4"/>
    <n v="118.3"/>
    <n v="113.2"/>
    <n v="122.4"/>
    <n v="1433.8000000000002"/>
    <n v="122"/>
    <n v="119"/>
    <n v="452.7"/>
    <n v="117.4"/>
    <n v="113.2"/>
    <n v="347.3"/>
    <n v="116.7"/>
    <n v="113.9"/>
    <n v="228.2"/>
    <n v="111.2"/>
    <n v="114.3"/>
    <n v="111.4"/>
    <n v="111.5"/>
    <n v="111.8"/>
    <n v="115.1"/>
    <n v="108.7"/>
    <n v="112.2"/>
    <n v="116.4"/>
  </r>
  <r>
    <x v="2"/>
    <x v="1"/>
    <x v="5"/>
    <n v="121.5"/>
    <n v="123.1"/>
    <n v="115.8"/>
    <n v="119.7"/>
    <n v="107.8"/>
    <n v="128.30000000000001"/>
    <n v="132.1"/>
    <n v="112.4"/>
    <n v="102.9"/>
    <n v="114.3"/>
    <n v="114.2"/>
    <n v="121.2"/>
    <n v="1419.5"/>
    <n v="120.4"/>
    <n v="117.8"/>
    <n v="451.90000000000003"/>
    <n v="118.8"/>
    <n v="115.6"/>
    <n v="352.7"/>
    <n v="118.3"/>
    <n v="113.9"/>
    <n v="228.5"/>
    <n v="113.2"/>
    <n v="114.6"/>
    <n v="112.3"/>
    <n v="111.8"/>
    <n v="111.6"/>
    <n v="114.8"/>
    <n v="108.3"/>
    <n v="112.3"/>
    <n v="116.7"/>
  </r>
  <r>
    <x v="0"/>
    <x v="1"/>
    <x v="6"/>
    <n v="121.7"/>
    <n v="122.5"/>
    <n v="117.7"/>
    <n v="120.6"/>
    <n v="110.4"/>
    <n v="129.1"/>
    <n v="150.1"/>
    <n v="113.2"/>
    <n v="104.8"/>
    <n v="113.3"/>
    <n v="115.6"/>
    <n v="120.9"/>
    <n v="1447.6"/>
    <n v="123.3"/>
    <n v="118"/>
    <n v="454.2"/>
    <n v="120.7"/>
    <n v="118.3"/>
    <n v="359.3"/>
    <n v="120.3"/>
    <n v="114.8"/>
    <n v="230.2"/>
    <n v="115.3"/>
    <n v="115.4"/>
    <n v="113.4"/>
    <n v="113.2"/>
    <n v="111.8"/>
    <n v="115.5"/>
    <n v="108.8"/>
    <n v="113.1"/>
    <n v="119.5"/>
  </r>
  <r>
    <x v="1"/>
    <x v="1"/>
    <x v="6"/>
    <n v="123.8"/>
    <n v="126.4"/>
    <n v="118"/>
    <n v="121.6"/>
    <n v="103.5"/>
    <n v="133.69999999999999"/>
    <n v="172.4"/>
    <n v="113.1"/>
    <n v="102.7"/>
    <n v="120"/>
    <n v="113.8"/>
    <n v="123.4"/>
    <n v="1485.7"/>
    <n v="127.1"/>
    <n v="121"/>
    <n v="456.90000000000003"/>
    <n v="118"/>
    <n v="113.6"/>
    <n v="349"/>
    <n v="117.4"/>
    <n v="114.8"/>
    <n v="229.7"/>
    <n v="111.6"/>
    <n v="114.9"/>
    <n v="111.5"/>
    <n v="113"/>
    <n v="112.4"/>
    <n v="117.8"/>
    <n v="109.7"/>
    <n v="113.5"/>
    <n v="118.9"/>
  </r>
  <r>
    <x v="2"/>
    <x v="1"/>
    <x v="6"/>
    <n v="122.4"/>
    <n v="123.9"/>
    <n v="117.8"/>
    <n v="121"/>
    <n v="107.9"/>
    <n v="131.19999999999999"/>
    <n v="157.69999999999999"/>
    <n v="113.2"/>
    <n v="104.1"/>
    <n v="115.5"/>
    <n v="114.8"/>
    <n v="122.1"/>
    <n v="1461.5000000000002"/>
    <n v="124.7"/>
    <n v="118.8"/>
    <n v="454.9"/>
    <n v="119.6"/>
    <n v="116.3"/>
    <n v="355"/>
    <n v="119.1"/>
    <n v="114.8"/>
    <n v="230"/>
    <n v="113.9"/>
    <n v="115.2"/>
    <n v="112.7"/>
    <n v="113.1"/>
    <n v="112.1"/>
    <n v="116.8"/>
    <n v="109.2"/>
    <n v="113.3"/>
    <n v="119.2"/>
  </r>
  <r>
    <x v="0"/>
    <x v="1"/>
    <x v="7"/>
    <n v="121.8"/>
    <n v="122.8"/>
    <n v="117.8"/>
    <n v="121.9"/>
    <n v="110.6"/>
    <n v="129.69999999999999"/>
    <n v="161.1"/>
    <n v="114.1"/>
    <n v="105.1"/>
    <n v="114.6"/>
    <n v="115.8"/>
    <n v="121.7"/>
    <n v="1466.4999999999998"/>
    <n v="125.3"/>
    <n v="118.8"/>
    <n v="456.20000000000005"/>
    <n v="120.9"/>
    <n v="118.8"/>
    <n v="360.4"/>
    <n v="120.7"/>
    <n v="115.5"/>
    <n v="231.4"/>
    <n v="115.4"/>
    <n v="115.9"/>
    <n v="114"/>
    <n v="113.2"/>
    <n v="112.2"/>
    <n v="116.2"/>
    <n v="109.4"/>
    <n v="113.5"/>
    <n v="120.7"/>
  </r>
  <r>
    <x v="1"/>
    <x v="1"/>
    <x v="7"/>
    <n v="124.8"/>
    <n v="127.3"/>
    <n v="116.5"/>
    <n v="122.2"/>
    <n v="103.6"/>
    <n v="132.69999999999999"/>
    <n v="181.9"/>
    <n v="115.2"/>
    <n v="102.7"/>
    <n v="122.1"/>
    <n v="114.4"/>
    <n v="124.7"/>
    <n v="1502.6"/>
    <n v="128.9"/>
    <n v="123"/>
    <n v="460.8"/>
    <n v="118.6"/>
    <n v="114.1"/>
    <n v="350.6"/>
    <n v="117.9"/>
    <n v="115.5"/>
    <n v="230.8"/>
    <n v="111.8"/>
    <n v="115.3"/>
    <n v="112.2"/>
    <n v="112.5"/>
    <n v="112.9"/>
    <n v="119.2"/>
    <n v="110.5"/>
    <n v="113.9"/>
    <n v="119.9"/>
  </r>
  <r>
    <x v="2"/>
    <x v="1"/>
    <x v="7"/>
    <n v="122.7"/>
    <n v="124.4"/>
    <n v="117.3"/>
    <n v="122"/>
    <n v="108"/>
    <n v="131.1"/>
    <n v="168.2"/>
    <n v="114.5"/>
    <n v="104.3"/>
    <n v="117.1"/>
    <n v="115.2"/>
    <n v="123.1"/>
    <n v="1479.3000000000002"/>
    <n v="126.6"/>
    <n v="119.9"/>
    <n v="457.6"/>
    <n v="120"/>
    <n v="116.8"/>
    <n v="356.4"/>
    <n v="119.6"/>
    <n v="115.5"/>
    <n v="231.1"/>
    <n v="114"/>
    <n v="115.6"/>
    <n v="113.3"/>
    <n v="112.8"/>
    <n v="112.6"/>
    <n v="118"/>
    <n v="109.9"/>
    <n v="113.7"/>
    <n v="120.3"/>
  </r>
  <r>
    <x v="0"/>
    <x v="1"/>
    <x v="8"/>
    <n v="122.3"/>
    <n v="122.4"/>
    <n v="117.8"/>
    <n v="122.7"/>
    <n v="110.4"/>
    <n v="129.80000000000001"/>
    <n v="158.80000000000001"/>
    <n v="115"/>
    <n v="104.7"/>
    <n v="114.9"/>
    <n v="116.5"/>
    <n v="122.6"/>
    <n v="1466.7"/>
    <n v="125.3"/>
    <n v="119.5"/>
    <n v="457.70000000000005"/>
    <n v="121.7"/>
    <n v="119.2"/>
    <n v="362.2"/>
    <n v="121.3"/>
    <n v="116.1"/>
    <n v="232.8"/>
    <n v="115.8"/>
    <n v="116.7"/>
    <n v="114.5"/>
    <n v="112.8"/>
    <n v="112.6"/>
    <n v="116.6"/>
    <n v="109.1"/>
    <n v="113.7"/>
    <n v="120.9"/>
  </r>
  <r>
    <x v="1"/>
    <x v="1"/>
    <x v="8"/>
    <n v="124.2"/>
    <n v="125.4"/>
    <n v="116.4"/>
    <n v="122.7"/>
    <n v="103.5"/>
    <n v="124.5"/>
    <n v="168.6"/>
    <n v="116.9"/>
    <n v="101.9"/>
    <n v="122.9"/>
    <n v="114.8"/>
    <n v="125.2"/>
    <n v="1478.9000000000003"/>
    <n v="126.7"/>
    <n v="124.3"/>
    <n v="462.5"/>
    <n v="119.2"/>
    <n v="114.5"/>
    <n v="352.1"/>
    <n v="118.4"/>
    <n v="116.1"/>
    <n v="231.6"/>
    <n v="111.8"/>
    <n v="115.5"/>
    <n v="112.3"/>
    <n v="111.2"/>
    <n v="113.4"/>
    <n v="120"/>
    <n v="110"/>
    <n v="113.6"/>
    <n v="119.2"/>
  </r>
  <r>
    <x v="2"/>
    <x v="1"/>
    <x v="8"/>
    <n v="122.9"/>
    <n v="123.5"/>
    <n v="117.3"/>
    <n v="122.7"/>
    <n v="107.9"/>
    <n v="127.3"/>
    <n v="162.1"/>
    <n v="115.6"/>
    <n v="103.8"/>
    <n v="117.6"/>
    <n v="115.8"/>
    <n v="123.8"/>
    <n v="1470.3"/>
    <n v="125.8"/>
    <n v="120.8"/>
    <n v="459.2"/>
    <n v="120.7"/>
    <n v="117.2"/>
    <n v="358"/>
    <n v="120.1"/>
    <n v="116.1"/>
    <n v="232.2"/>
    <n v="114.3"/>
    <n v="116.1"/>
    <n v="113.7"/>
    <n v="112"/>
    <n v="113.1"/>
    <n v="118.6"/>
    <n v="109.5"/>
    <n v="113.7"/>
    <n v="120.1"/>
  </r>
  <r>
    <x v="0"/>
    <x v="1"/>
    <x v="9"/>
    <n v="122.6"/>
    <n v="122.5"/>
    <n v="118.3"/>
    <n v="123.2"/>
    <n v="110.5"/>
    <n v="128.9"/>
    <n v="155.30000000000001"/>
    <n v="115.5"/>
    <n v="104"/>
    <n v="115.3"/>
    <n v="116.8"/>
    <n v="123.2"/>
    <n v="1464.3999999999999"/>
    <n v="125.1"/>
    <n v="120"/>
    <n v="459.1"/>
    <n v="122.7"/>
    <n v="120.3"/>
    <n v="365.3"/>
    <n v="122.3"/>
    <n v="116.7"/>
    <n v="234.2"/>
    <n v="116.4"/>
    <n v="117.5"/>
    <n v="115.3"/>
    <n v="112.6"/>
    <n v="113"/>
    <n v="116.9"/>
    <n v="109.3"/>
    <n v="114"/>
    <n v="121"/>
  </r>
  <r>
    <x v="1"/>
    <x v="1"/>
    <x v="9"/>
    <n v="124.6"/>
    <n v="126.1"/>
    <n v="117.8"/>
    <n v="123.1"/>
    <n v="103.5"/>
    <n v="123.5"/>
    <n v="159.6"/>
    <n v="117.4"/>
    <n v="101.2"/>
    <n v="123.8"/>
    <n v="115.2"/>
    <n v="125.9"/>
    <n v="1472.2999999999997"/>
    <n v="125.8"/>
    <n v="124.3"/>
    <n v="463.20000000000005"/>
    <n v="119.6"/>
    <n v="114.9"/>
    <n v="353.4"/>
    <n v="118.9"/>
    <n v="116.7"/>
    <n v="232.5"/>
    <n v="112"/>
    <n v="115.8"/>
    <n v="112.6"/>
    <n v="111"/>
    <n v="113.6"/>
    <n v="120.2"/>
    <n v="110.1"/>
    <n v="113.7"/>
    <n v="119.1"/>
  </r>
  <r>
    <x v="2"/>
    <x v="1"/>
    <x v="9"/>
    <n v="123.2"/>
    <n v="123.8"/>
    <n v="118.1"/>
    <n v="123.2"/>
    <n v="107.9"/>
    <n v="126.4"/>
    <n v="156.80000000000001"/>
    <n v="116.1"/>
    <n v="103.1"/>
    <n v="118.1"/>
    <n v="116.1"/>
    <n v="124.5"/>
    <n v="1466.6"/>
    <n v="125.4"/>
    <n v="121.1"/>
    <n v="460.1"/>
    <n v="121.5"/>
    <n v="118.1"/>
    <n v="360.6"/>
    <n v="121"/>
    <n v="116.7"/>
    <n v="233.4"/>
    <n v="114.7"/>
    <n v="116.7"/>
    <n v="114.3"/>
    <n v="111.8"/>
    <n v="113.3"/>
    <n v="118.8"/>
    <n v="109.6"/>
    <n v="113.9"/>
    <n v="120.1"/>
  </r>
  <r>
    <x v="0"/>
    <x v="1"/>
    <x v="10"/>
    <n v="122.7"/>
    <n v="122.6"/>
    <n v="119.9"/>
    <n v="124"/>
    <n v="110.5"/>
    <n v="128.80000000000001"/>
    <n v="152"/>
    <n v="116.2"/>
    <n v="103.3"/>
    <n v="115.8"/>
    <n v="116.8"/>
    <n v="124.5"/>
    <n v="1465.2"/>
    <n v="124.9"/>
    <n v="120.8"/>
    <n v="459.7"/>
    <n v="123.3"/>
    <n v="120.5"/>
    <n v="366.70000000000005"/>
    <n v="122.9"/>
    <n v="117.1"/>
    <n v="235.2"/>
    <n v="117.3"/>
    <n v="118.1"/>
    <n v="115.9"/>
    <n v="112"/>
    <n v="113.3"/>
    <n v="117.2"/>
    <n v="108.8"/>
    <n v="114.1"/>
    <n v="121.1"/>
  </r>
  <r>
    <x v="1"/>
    <x v="1"/>
    <x v="10"/>
    <n v="124.5"/>
    <n v="125.6"/>
    <n v="122.7"/>
    <n v="124.6"/>
    <n v="103.2"/>
    <n v="122.2"/>
    <n v="153.19999999999999"/>
    <n v="119.3"/>
    <n v="99.8"/>
    <n v="124.6"/>
    <n v="115.8"/>
    <n v="126.9"/>
    <n v="1472"/>
    <n v="125.4"/>
    <n v="125.8"/>
    <n v="465.20000000000005"/>
    <n v="120.3"/>
    <n v="115.4"/>
    <n v="355.2"/>
    <n v="119.5"/>
    <n v="117.1"/>
    <n v="233.5"/>
    <n v="112.6"/>
    <n v="116.4"/>
    <n v="113"/>
    <n v="109.7"/>
    <n v="114"/>
    <n v="120.3"/>
    <n v="109.6"/>
    <n v="113.4"/>
    <n v="119"/>
  </r>
  <r>
    <x v="2"/>
    <x v="1"/>
    <x v="10"/>
    <n v="123.3"/>
    <n v="123.7"/>
    <n v="121"/>
    <n v="124.2"/>
    <n v="107.8"/>
    <n v="125.7"/>
    <n v="152.4"/>
    <n v="117.2"/>
    <n v="102.1"/>
    <n v="118.7"/>
    <n v="116.4"/>
    <n v="125.6"/>
    <n v="1466.8"/>
    <n v="125.1"/>
    <n v="122.1"/>
    <n v="461.29999999999995"/>
    <n v="122.1"/>
    <n v="118.4"/>
    <n v="362.1"/>
    <n v="121.6"/>
    <n v="117.1"/>
    <n v="234.39999999999998"/>
    <n v="115.5"/>
    <n v="117.3"/>
    <n v="114.8"/>
    <n v="110.8"/>
    <n v="113.7"/>
    <n v="119"/>
    <n v="109.1"/>
    <n v="113.8"/>
    <n v="120.1"/>
  </r>
  <r>
    <x v="0"/>
    <x v="1"/>
    <x v="11"/>
    <n v="122.4"/>
    <n v="122.4"/>
    <n v="121.8"/>
    <n v="124.2"/>
    <n v="110.2"/>
    <n v="128.6"/>
    <n v="140.30000000000001"/>
    <n v="116.3"/>
    <n v="102"/>
    <n v="116"/>
    <n v="117.3"/>
    <n v="124.8"/>
    <n v="1452.3000000000004"/>
    <n v="123.3"/>
    <n v="121.7"/>
    <n v="461.70000000000005"/>
    <n v="123.8"/>
    <n v="120.6"/>
    <n v="367.7"/>
    <n v="123.3"/>
    <n v="116.5"/>
    <n v="234.7"/>
    <n v="117.4"/>
    <n v="118.2"/>
    <n v="116.2"/>
    <n v="111.5"/>
    <n v="113.3"/>
    <n v="117.7"/>
    <n v="109.4"/>
    <n v="114.2"/>
    <n v="120.3"/>
  </r>
  <r>
    <x v="1"/>
    <x v="1"/>
    <x v="11"/>
    <n v="124"/>
    <n v="124.7"/>
    <n v="126.3"/>
    <n v="124.9"/>
    <n v="103"/>
    <n v="122.3"/>
    <n v="141"/>
    <n v="120.1"/>
    <n v="97.8"/>
    <n v="125.4"/>
    <n v="116.1"/>
    <n v="127.6"/>
    <n v="1461.1"/>
    <n v="124"/>
    <n v="126.4"/>
    <n v="467.20000000000005"/>
    <n v="120.7"/>
    <n v="115.8"/>
    <n v="356.5"/>
    <n v="120"/>
    <n v="116.5"/>
    <n v="233.3"/>
    <n v="113"/>
    <n v="116.8"/>
    <n v="113.2"/>
    <n v="108.8"/>
    <n v="114.3"/>
    <n v="120.7"/>
    <n v="110.4"/>
    <n v="113.4"/>
    <n v="118.4"/>
  </r>
  <r>
    <x v="2"/>
    <x v="1"/>
    <x v="11"/>
    <n v="122.9"/>
    <n v="123.2"/>
    <n v="123.5"/>
    <n v="124.5"/>
    <n v="107.6"/>
    <n v="125.7"/>
    <n v="140.5"/>
    <n v="117.6"/>
    <n v="100.6"/>
    <n v="119.1"/>
    <n v="116.8"/>
    <n v="126.1"/>
    <n v="1454.9"/>
    <n v="123.6"/>
    <n v="123"/>
    <n v="463.50000000000006"/>
    <n v="122.6"/>
    <n v="118.6"/>
    <n v="363.2"/>
    <n v="122"/>
    <n v="116.5"/>
    <n v="234"/>
    <n v="115.7"/>
    <n v="117.5"/>
    <n v="115.1"/>
    <n v="110.1"/>
    <n v="113.9"/>
    <n v="119.5"/>
    <n v="109.8"/>
    <n v="113.8"/>
    <n v="119.4"/>
  </r>
  <r>
    <x v="0"/>
    <x v="2"/>
    <x v="0"/>
    <n v="123.1"/>
    <n v="123.1"/>
    <n v="122.1"/>
    <n v="124.9"/>
    <n v="111"/>
    <n v="130.4"/>
    <n v="132.30000000000001"/>
    <n v="117.2"/>
    <n v="100.5"/>
    <n v="117.2"/>
    <n v="117.9"/>
    <n v="125.6"/>
    <n v="1450.1999999999996"/>
    <n v="122.8"/>
    <n v="122.7"/>
    <n v="464.8"/>
    <n v="124.4"/>
    <n v="121.6"/>
    <n v="370"/>
    <n v="124"/>
    <n v="117.3"/>
    <n v="236.2"/>
    <n v="118.4"/>
    <n v="118.9"/>
    <n v="116.6"/>
    <n v="111"/>
    <n v="114"/>
    <n v="118.2"/>
    <n v="110.2"/>
    <n v="114.5"/>
    <n v="120.3"/>
  </r>
  <r>
    <x v="1"/>
    <x v="2"/>
    <x v="0"/>
    <n v="124"/>
    <n v="125.5"/>
    <n v="126.6"/>
    <n v="125.2"/>
    <n v="104.3"/>
    <n v="121.3"/>
    <n v="134.4"/>
    <n v="122.9"/>
    <n v="96.1"/>
    <n v="126.6"/>
    <n v="116.5"/>
    <n v="128"/>
    <n v="1458.3999999999999"/>
    <n v="123.5"/>
    <n v="127.4"/>
    <n v="469.9"/>
    <n v="121"/>
    <n v="116.1"/>
    <n v="357.3"/>
    <n v="120.2"/>
    <n v="117.3"/>
    <n v="234.5"/>
    <n v="113.4"/>
    <n v="117.2"/>
    <n v="113.7"/>
    <n v="107.9"/>
    <n v="114.6"/>
    <n v="120.8"/>
    <n v="111.4"/>
    <n v="113.4"/>
    <n v="118.5"/>
  </r>
  <r>
    <x v="2"/>
    <x v="2"/>
    <x v="0"/>
    <n v="123.4"/>
    <n v="123.9"/>
    <n v="123.8"/>
    <n v="125"/>
    <n v="108.5"/>
    <n v="126.2"/>
    <n v="133"/>
    <n v="119.1"/>
    <n v="99"/>
    <n v="120.3"/>
    <n v="117.3"/>
    <n v="126.7"/>
    <n v="1452.0000000000002"/>
    <n v="123.1"/>
    <n v="124"/>
    <n v="466.3"/>
    <n v="123.1"/>
    <n v="119.3"/>
    <n v="364.9"/>
    <n v="122.5"/>
    <n v="117.3"/>
    <n v="235.39999999999998"/>
    <n v="116.5"/>
    <n v="118.1"/>
    <n v="115.5"/>
    <n v="109.4"/>
    <n v="114.3"/>
    <n v="119.7"/>
    <n v="110.7"/>
    <n v="114"/>
    <n v="119.5"/>
  </r>
  <r>
    <x v="0"/>
    <x v="2"/>
    <x v="1"/>
    <n v="123.4"/>
    <n v="124.4"/>
    <n v="122.1"/>
    <n v="125.8"/>
    <n v="111.5"/>
    <n v="129.4"/>
    <n v="128.19999999999999"/>
    <n v="118.8"/>
    <n v="100"/>
    <n v="118.6"/>
    <n v="118.8"/>
    <n v="126.8"/>
    <n v="1451.8"/>
    <n v="122.8"/>
    <n v="124.2"/>
    <n v="468.6"/>
    <n v="125.4"/>
    <n v="122.7"/>
    <n v="373.1"/>
    <n v="125"/>
    <n v="118.1"/>
    <n v="237.7"/>
    <n v="120"/>
    <n v="119.6"/>
    <n v="117.7"/>
    <n v="110.9"/>
    <n v="114.8"/>
    <n v="118.7"/>
    <n v="110.8"/>
    <n v="115"/>
    <n v="120.6"/>
  </r>
  <r>
    <x v="1"/>
    <x v="2"/>
    <x v="1"/>
    <n v="124.3"/>
    <n v="126.5"/>
    <n v="119.5"/>
    <n v="125.6"/>
    <n v="104.9"/>
    <n v="121.6"/>
    <n v="131.80000000000001"/>
    <n v="125.1"/>
    <n v="95"/>
    <n v="127.7"/>
    <n v="116.8"/>
    <n v="128.6"/>
    <n v="1454.3000000000002"/>
    <n v="123.7"/>
    <n v="128.1"/>
    <n v="471.49999999999994"/>
    <n v="121.3"/>
    <n v="116.5"/>
    <n v="358.4"/>
    <n v="120.6"/>
    <n v="118.1"/>
    <n v="235.8"/>
    <n v="114"/>
    <n v="117.7"/>
    <n v="114.1"/>
    <n v="106.8"/>
    <n v="114.9"/>
    <n v="120.4"/>
    <n v="111.7"/>
    <n v="113.2"/>
    <n v="118.7"/>
  </r>
  <r>
    <x v="2"/>
    <x v="2"/>
    <x v="1"/>
    <n v="123.7"/>
    <n v="125.1"/>
    <n v="121.1"/>
    <n v="125.7"/>
    <n v="109.1"/>
    <n v="125.8"/>
    <n v="129.4"/>
    <n v="120.9"/>
    <n v="98.3"/>
    <n v="121.6"/>
    <n v="118"/>
    <n v="127.6"/>
    <n v="1451.3999999999999"/>
    <n v="123.1"/>
    <n v="125.2"/>
    <n v="469.3"/>
    <n v="123.8"/>
    <n v="120.1"/>
    <n v="367.2"/>
    <n v="123.3"/>
    <n v="118.1"/>
    <n v="236.8"/>
    <n v="117.7"/>
    <n v="118.7"/>
    <n v="116.3"/>
    <n v="108.7"/>
    <n v="114.9"/>
    <n v="119.7"/>
    <n v="111.2"/>
    <n v="114.1"/>
    <n v="119.7"/>
  </r>
  <r>
    <x v="0"/>
    <x v="2"/>
    <x v="2"/>
    <n v="123.3"/>
    <n v="124.7"/>
    <n v="118.9"/>
    <n v="126"/>
    <n v="111.8"/>
    <n v="130.9"/>
    <n v="128"/>
    <n v="119.9"/>
    <n v="98.9"/>
    <n v="119.4"/>
    <n v="118.9"/>
    <n v="127.7"/>
    <n v="1452.6"/>
    <n v="123.1"/>
    <n v="124.7"/>
    <n v="469.90000000000003"/>
    <n v="126"/>
    <n v="122.9"/>
    <n v="374.4"/>
    <n v="125.5"/>
    <n v="118.6"/>
    <n v="238.8"/>
    <n v="120.6"/>
    <n v="120.2"/>
    <n v="118.2"/>
    <n v="111.6"/>
    <n v="115.5"/>
    <n v="119.4"/>
    <n v="110.8"/>
    <n v="115.5"/>
    <n v="121.1"/>
  </r>
  <r>
    <x v="1"/>
    <x v="2"/>
    <x v="2"/>
    <n v="124"/>
    <n v="126.7"/>
    <n v="113.5"/>
    <n v="125.9"/>
    <n v="104.8"/>
    <n v="123.8"/>
    <n v="131.4"/>
    <n v="127.2"/>
    <n v="93.2"/>
    <n v="127.4"/>
    <n v="117"/>
    <n v="129.19999999999999"/>
    <n v="1451"/>
    <n v="123.9"/>
    <n v="128.80000000000001"/>
    <n v="472.50000000000006"/>
    <n v="121.7"/>
    <n v="116.9"/>
    <n v="359.5"/>
    <n v="120.9"/>
    <n v="118.6"/>
    <n v="236.6"/>
    <n v="114.4"/>
    <n v="118"/>
    <n v="114.3"/>
    <n v="108.4"/>
    <n v="115.4"/>
    <n v="120.6"/>
    <n v="111.3"/>
    <n v="113.8"/>
    <n v="119.1"/>
  </r>
  <r>
    <x v="2"/>
    <x v="2"/>
    <x v="2"/>
    <n v="123.5"/>
    <n v="125.4"/>
    <n v="116.8"/>
    <n v="126"/>
    <n v="109.2"/>
    <n v="127.6"/>
    <n v="129.19999999999999"/>
    <n v="122.4"/>
    <n v="97"/>
    <n v="122.1"/>
    <n v="118.1"/>
    <n v="128.4"/>
    <n v="1451.0000000000002"/>
    <n v="123.4"/>
    <n v="125.8"/>
    <n v="470.29999999999995"/>
    <n v="124.3"/>
    <n v="120.4"/>
    <n v="368.4"/>
    <n v="123.7"/>
    <n v="118.6"/>
    <n v="237.8"/>
    <n v="118.3"/>
    <n v="119.2"/>
    <n v="116.7"/>
    <n v="109.9"/>
    <n v="115.4"/>
    <n v="120.1"/>
    <n v="111"/>
    <n v="114.7"/>
    <n v="120.2"/>
  </r>
  <r>
    <x v="0"/>
    <x v="2"/>
    <x v="3"/>
    <n v="123.3"/>
    <n v="125.5"/>
    <n v="117.2"/>
    <n v="126.8"/>
    <n v="111.9"/>
    <n v="134.19999999999999"/>
    <n v="127.5"/>
    <n v="121.5"/>
    <n v="97.8"/>
    <n v="119.8"/>
    <n v="119.4"/>
    <n v="128.69999999999999"/>
    <n v="1457.7999999999997"/>
    <n v="123.6"/>
    <n v="125.7"/>
    <n v="472.9"/>
    <n v="126.4"/>
    <n v="123.3"/>
    <n v="375.7"/>
    <n v="126"/>
    <n v="119.2"/>
    <n v="240.10000000000002"/>
    <n v="121.2"/>
    <n v="120.9"/>
    <n v="118.6"/>
    <n v="111.9"/>
    <n v="116.2"/>
    <n v="119.9"/>
    <n v="111.6"/>
    <n v="116"/>
    <n v="121.5"/>
  </r>
  <r>
    <x v="1"/>
    <x v="2"/>
    <x v="3"/>
    <n v="123.8"/>
    <n v="128.19999999999999"/>
    <n v="110"/>
    <n v="126.3"/>
    <n v="104.5"/>
    <n v="130.6"/>
    <n v="130.80000000000001"/>
    <n v="131.30000000000001"/>
    <n v="91.6"/>
    <n v="127.7"/>
    <n v="117.2"/>
    <n v="129.5"/>
    <n v="1458.8999999999999"/>
    <n v="124.6"/>
    <n v="130.1"/>
    <n v="474.7"/>
    <n v="122.1"/>
    <n v="117.2"/>
    <n v="360.6"/>
    <n v="121.3"/>
    <n v="119.2"/>
    <n v="237.60000000000002"/>
    <n v="114.7"/>
    <n v="118.4"/>
    <n v="114.6"/>
    <n v="108.4"/>
    <n v="115.6"/>
    <n v="121.7"/>
    <n v="111.8"/>
    <n v="114.2"/>
    <n v="119.7"/>
  </r>
  <r>
    <x v="2"/>
    <x v="2"/>
    <x v="3"/>
    <n v="123.5"/>
    <n v="126.4"/>
    <n v="114.4"/>
    <n v="126.6"/>
    <n v="109.2"/>
    <n v="132.5"/>
    <n v="128.6"/>
    <n v="124.8"/>
    <n v="95.7"/>
    <n v="122.4"/>
    <n v="118.5"/>
    <n v="129.1"/>
    <n v="1457.2000000000003"/>
    <n v="124"/>
    <n v="126.9"/>
    <n v="473"/>
    <n v="124.7"/>
    <n v="120.8"/>
    <n v="369.6"/>
    <n v="124.1"/>
    <n v="119.2"/>
    <n v="238.9"/>
    <n v="118.7"/>
    <n v="119.7"/>
    <n v="117.1"/>
    <n v="110.1"/>
    <n v="115.9"/>
    <n v="121"/>
    <n v="111.7"/>
    <n v="115.1"/>
    <n v="120.7"/>
  </r>
  <r>
    <x v="0"/>
    <x v="2"/>
    <x v="4"/>
    <n v="123.5"/>
    <n v="127.1"/>
    <n v="117.3"/>
    <n v="127.7"/>
    <n v="112.5"/>
    <n v="134.1"/>
    <n v="128.5"/>
    <n v="124.3"/>
    <n v="97.6"/>
    <n v="120.7"/>
    <n v="120.2"/>
    <n v="129.80000000000001"/>
    <n v="1467.5000000000002"/>
    <n v="124.4"/>
    <n v="126.7"/>
    <n v="475.90000000000003"/>
    <n v="127.3"/>
    <n v="124.1"/>
    <n v="378.2"/>
    <n v="126.8"/>
    <n v="119.6"/>
    <n v="241.1"/>
    <n v="121.9"/>
    <n v="121.5"/>
    <n v="119.4"/>
    <n v="113.3"/>
    <n v="116.7"/>
    <n v="120.5"/>
    <n v="112.3"/>
    <n v="116.9"/>
    <n v="122.4"/>
  </r>
  <r>
    <x v="1"/>
    <x v="2"/>
    <x v="4"/>
    <n v="123.8"/>
    <n v="129.69999999999999"/>
    <n v="111.3"/>
    <n v="126.6"/>
    <n v="105.2"/>
    <n v="130.80000000000001"/>
    <n v="135.6"/>
    <n v="142.6"/>
    <n v="90.8"/>
    <n v="128.80000000000001"/>
    <n v="117.7"/>
    <n v="129.9"/>
    <n v="1481.2"/>
    <n v="126.1"/>
    <n v="131.30000000000001"/>
    <n v="477.4"/>
    <n v="122.4"/>
    <n v="117.4"/>
    <n v="361.4"/>
    <n v="121.6"/>
    <n v="119.6"/>
    <n v="238.3"/>
    <n v="114.9"/>
    <n v="118.7"/>
    <n v="114.9"/>
    <n v="110.8"/>
    <n v="116"/>
    <n v="122"/>
    <n v="112.4"/>
    <n v="115.2"/>
    <n v="120.7"/>
  </r>
  <r>
    <x v="2"/>
    <x v="2"/>
    <x v="4"/>
    <n v="123.6"/>
    <n v="128"/>
    <n v="115"/>
    <n v="127.3"/>
    <n v="109.8"/>
    <n v="132.6"/>
    <n v="130.9"/>
    <n v="130.5"/>
    <n v="95.3"/>
    <n v="123.4"/>
    <n v="119.2"/>
    <n v="129.80000000000001"/>
    <n v="1471.1999999999998"/>
    <n v="125"/>
    <n v="127.9"/>
    <n v="475.70000000000005"/>
    <n v="125.4"/>
    <n v="121.3"/>
    <n v="371.4"/>
    <n v="124.7"/>
    <n v="119.6"/>
    <n v="239.8"/>
    <n v="119.2"/>
    <n v="120.2"/>
    <n v="117.7"/>
    <n v="112"/>
    <n v="116.3"/>
    <n v="121.4"/>
    <n v="112.3"/>
    <n v="116.1"/>
    <n v="121.6"/>
  </r>
  <r>
    <x v="0"/>
    <x v="2"/>
    <x v="5"/>
    <n v="124.1"/>
    <n v="130.4"/>
    <n v="122.1"/>
    <n v="128.69999999999999"/>
    <n v="114.1"/>
    <n v="133.19999999999999"/>
    <n v="135.19999999999999"/>
    <n v="131.9"/>
    <n v="96.3"/>
    <n v="123"/>
    <n v="121.1"/>
    <n v="131.19999999999999"/>
    <n v="1496.7999999999997"/>
    <n v="126.6"/>
    <n v="128.19999999999999"/>
    <n v="480.2"/>
    <n v="128.4"/>
    <n v="125.1"/>
    <n v="381.5"/>
    <n v="128"/>
    <n v="119"/>
    <n v="241.8"/>
    <n v="122.6"/>
    <n v="122.8"/>
    <n v="120.4"/>
    <n v="114.2"/>
    <n v="117.9"/>
    <n v="122"/>
    <n v="113"/>
    <n v="117.9"/>
    <n v="124.1"/>
  </r>
  <r>
    <x v="1"/>
    <x v="2"/>
    <x v="5"/>
    <n v="123.6"/>
    <n v="134.4"/>
    <n v="120.9"/>
    <n v="127.3"/>
    <n v="106"/>
    <n v="132.30000000000001"/>
    <n v="146.69999999999999"/>
    <n v="148.1"/>
    <n v="89.8"/>
    <n v="130.5"/>
    <n v="118"/>
    <n v="130.5"/>
    <n v="1518.6"/>
    <n v="128.5"/>
    <n v="132.1"/>
    <n v="478.8"/>
    <n v="123.2"/>
    <n v="117.6"/>
    <n v="363.1"/>
    <n v="122.3"/>
    <n v="119"/>
    <n v="238.2"/>
    <n v="115.1"/>
    <n v="119.2"/>
    <n v="115.4"/>
    <n v="111.7"/>
    <n v="116.2"/>
    <n v="123.8"/>
    <n v="112.5"/>
    <n v="116"/>
    <n v="121.7"/>
  </r>
  <r>
    <x v="2"/>
    <x v="2"/>
    <x v="5"/>
    <n v="123.9"/>
    <n v="131.80000000000001"/>
    <n v="121.6"/>
    <n v="128.19999999999999"/>
    <n v="111.1"/>
    <n v="132.80000000000001"/>
    <n v="139.1"/>
    <n v="137.4"/>
    <n v="94.1"/>
    <n v="125.5"/>
    <n v="119.8"/>
    <n v="130.9"/>
    <n v="1503.6999999999998"/>
    <n v="127.3"/>
    <n v="129.19999999999999"/>
    <n v="478.7"/>
    <n v="126.4"/>
    <n v="122"/>
    <n v="374.1"/>
    <n v="125.7"/>
    <n v="119"/>
    <n v="240.1"/>
    <n v="119.8"/>
    <n v="121.1"/>
    <n v="118.5"/>
    <n v="112.9"/>
    <n v="116.9"/>
    <n v="123.1"/>
    <n v="112.8"/>
    <n v="117"/>
    <n v="123"/>
  </r>
  <r>
    <x v="0"/>
    <x v="2"/>
    <x v="6"/>
    <n v="124"/>
    <n v="131.5"/>
    <n v="122"/>
    <n v="128.69999999999999"/>
    <n v="113.5"/>
    <n v="133.30000000000001"/>
    <n v="140.80000000000001"/>
    <n v="133.80000000000001"/>
    <n v="94.1"/>
    <n v="123.4"/>
    <n v="121"/>
    <n v="131.69999999999999"/>
    <n v="1504.3"/>
    <n v="127.5"/>
    <n v="129.4"/>
    <n v="481.09999999999997"/>
    <n v="128.80000000000001"/>
    <n v="125.5"/>
    <n v="382.6"/>
    <n v="128.30000000000001"/>
    <n v="119.9"/>
    <n v="242.9"/>
    <n v="123"/>
    <n v="123"/>
    <n v="120.8"/>
    <n v="114.1"/>
    <n v="118"/>
    <n v="122.9"/>
    <n v="112.7"/>
    <n v="118.1"/>
    <n v="124.7"/>
  </r>
  <r>
    <x v="1"/>
    <x v="2"/>
    <x v="6"/>
    <n v="123.2"/>
    <n v="134.30000000000001"/>
    <n v="119.5"/>
    <n v="127.7"/>
    <n v="106.3"/>
    <n v="132.80000000000001"/>
    <n v="153.5"/>
    <n v="149.5"/>
    <n v="85.7"/>
    <n v="131.5"/>
    <n v="118.3"/>
    <n v="131.1"/>
    <n v="1524.6"/>
    <n v="129.5"/>
    <n v="133.1"/>
    <n v="479.7"/>
    <n v="123.5"/>
    <n v="117.9"/>
    <n v="364.1"/>
    <n v="122.7"/>
    <n v="119.9"/>
    <n v="239.4"/>
    <n v="115.3"/>
    <n v="119.5"/>
    <n v="116"/>
    <n v="111.5"/>
    <n v="116.6"/>
    <n v="125.4"/>
    <n v="111.7"/>
    <n v="116.3"/>
    <n v="122.4"/>
  </r>
  <r>
    <x v="2"/>
    <x v="2"/>
    <x v="6"/>
    <n v="123.7"/>
    <n v="132.5"/>
    <n v="121"/>
    <n v="128.30000000000001"/>
    <n v="110.9"/>
    <n v="133.1"/>
    <n v="145.1"/>
    <n v="139.1"/>
    <n v="91.3"/>
    <n v="126.1"/>
    <n v="119.9"/>
    <n v="131.4"/>
    <n v="1510.7"/>
    <n v="128.19999999999999"/>
    <n v="130.4"/>
    <n v="479.8"/>
    <n v="126.7"/>
    <n v="122.3"/>
    <n v="375.1"/>
    <n v="126.1"/>
    <n v="119.9"/>
    <n v="241.2"/>
    <n v="120.1"/>
    <n v="121.3"/>
    <n v="119"/>
    <n v="112.7"/>
    <n v="117.2"/>
    <n v="124.4"/>
    <n v="112.3"/>
    <n v="117.2"/>
    <n v="123.6"/>
  </r>
  <r>
    <x v="0"/>
    <x v="2"/>
    <x v="7"/>
    <n v="124.7"/>
    <n v="131.30000000000001"/>
    <n v="121.3"/>
    <n v="128.80000000000001"/>
    <n v="114"/>
    <n v="134.19999999999999"/>
    <n v="153.6"/>
    <n v="137.9"/>
    <n v="93.1"/>
    <n v="123.9"/>
    <n v="121.5"/>
    <n v="132.5"/>
    <n v="1525.1"/>
    <n v="129.80000000000001"/>
    <n v="130.1"/>
    <n v="482.6"/>
    <n v="129.5"/>
    <n v="126.3"/>
    <n v="384.8"/>
    <n v="129"/>
    <n v="120.9"/>
    <n v="244.60000000000002"/>
    <n v="123.8"/>
    <n v="123.7"/>
    <n v="121.1"/>
    <n v="113.6"/>
    <n v="118.5"/>
    <n v="123.6"/>
    <n v="112.5"/>
    <n v="118.2"/>
    <n v="126.1"/>
  </r>
  <r>
    <x v="1"/>
    <x v="2"/>
    <x v="7"/>
    <n v="123.1"/>
    <n v="131.69999999999999"/>
    <n v="118.1"/>
    <n v="128"/>
    <n v="106.8"/>
    <n v="130.1"/>
    <n v="165.5"/>
    <n v="156"/>
    <n v="85.3"/>
    <n v="132.69999999999999"/>
    <n v="118.8"/>
    <n v="131.69999999999999"/>
    <n v="1540.0999999999997"/>
    <n v="131.1"/>
    <n v="134.19999999999999"/>
    <n v="482.2"/>
    <n v="123.7"/>
    <n v="118.2"/>
    <n v="364.8"/>
    <n v="122.9"/>
    <n v="120.9"/>
    <n v="240.9"/>
    <n v="115.3"/>
    <n v="120"/>
    <n v="116.6"/>
    <n v="109.9"/>
    <n v="117.2"/>
    <n v="126.2"/>
    <n v="112"/>
    <n v="116.2"/>
    <n v="123.2"/>
  </r>
  <r>
    <x v="2"/>
    <x v="2"/>
    <x v="7"/>
    <n v="124.2"/>
    <n v="131.4"/>
    <n v="120.1"/>
    <n v="128.5"/>
    <n v="111.4"/>
    <n v="132.30000000000001"/>
    <n v="157.6"/>
    <n v="144"/>
    <n v="90.5"/>
    <n v="126.8"/>
    <n v="120.4"/>
    <n v="132.1"/>
    <n v="1529.2"/>
    <n v="130.30000000000001"/>
    <n v="131.19999999999999"/>
    <n v="481.7"/>
    <n v="127.2"/>
    <n v="122.9"/>
    <n v="376.70000000000005"/>
    <n v="126.6"/>
    <n v="120.9"/>
    <n v="242.9"/>
    <n v="120.6"/>
    <n v="122"/>
    <n v="119.4"/>
    <n v="111.7"/>
    <n v="117.8"/>
    <n v="125.1"/>
    <n v="112.3"/>
    <n v="117.2"/>
    <n v="124.8"/>
  </r>
  <r>
    <x v="0"/>
    <x v="2"/>
    <x v="8"/>
    <n v="125.1"/>
    <n v="131.1"/>
    <n v="120.7"/>
    <n v="129.19999999999999"/>
    <n v="114.7"/>
    <n v="132.30000000000001"/>
    <n v="158.9"/>
    <n v="142.1"/>
    <n v="92.5"/>
    <n v="125.4"/>
    <n v="121.9"/>
    <n v="132.69999999999999"/>
    <n v="1535.7"/>
    <n v="131"/>
    <n v="131"/>
    <n v="486.2"/>
    <n v="130.4"/>
    <n v="126.8"/>
    <n v="387.1"/>
    <n v="129.9"/>
    <n v="121.6"/>
    <n v="246.1"/>
    <n v="123.7"/>
    <n v="124.5"/>
    <n v="121.4"/>
    <n v="113.8"/>
    <n v="119.6"/>
    <n v="124.5"/>
    <n v="113.7"/>
    <n v="118.8"/>
    <n v="127"/>
  </r>
  <r>
    <x v="1"/>
    <x v="2"/>
    <x v="8"/>
    <n v="123.4"/>
    <n v="129"/>
    <n v="115.6"/>
    <n v="128.30000000000001"/>
    <n v="107"/>
    <n v="124"/>
    <n v="168.5"/>
    <n v="165.4"/>
    <n v="86.3"/>
    <n v="134.4"/>
    <n v="119.1"/>
    <n v="132.30000000000001"/>
    <n v="1545.7"/>
    <n v="131.5"/>
    <n v="134.69999999999999"/>
    <n v="484"/>
    <n v="124"/>
    <n v="118.6"/>
    <n v="365.8"/>
    <n v="123.2"/>
    <n v="121.6"/>
    <n v="242"/>
    <n v="115.1"/>
    <n v="120.4"/>
    <n v="117.1"/>
    <n v="109.1"/>
    <n v="117.3"/>
    <n v="126.5"/>
    <n v="112.9"/>
    <n v="116.2"/>
    <n v="123.5"/>
  </r>
  <r>
    <x v="2"/>
    <x v="2"/>
    <x v="8"/>
    <n v="124.6"/>
    <n v="130.4"/>
    <n v="118.7"/>
    <n v="128.9"/>
    <n v="111.9"/>
    <n v="128.4"/>
    <n v="162.19999999999999"/>
    <n v="150"/>
    <n v="90.4"/>
    <n v="128.4"/>
    <n v="120.7"/>
    <n v="132.5"/>
    <n v="1537.6000000000001"/>
    <n v="131.19999999999999"/>
    <n v="132"/>
    <n v="484.4"/>
    <n v="127.9"/>
    <n v="123.4"/>
    <n v="378.5"/>
    <n v="127.2"/>
    <n v="121.6"/>
    <n v="244.2"/>
    <n v="120.4"/>
    <n v="122.6"/>
    <n v="119.8"/>
    <n v="111.3"/>
    <n v="118.3"/>
    <n v="125.7"/>
    <n v="113.4"/>
    <n v="117.5"/>
    <n v="125.4"/>
  </r>
  <r>
    <x v="0"/>
    <x v="2"/>
    <x v="9"/>
    <n v="125.6"/>
    <n v="130.4"/>
    <n v="120.8"/>
    <n v="129.4"/>
    <n v="115.8"/>
    <n v="133.19999999999999"/>
    <n v="157.69999999999999"/>
    <n v="154.19999999999999"/>
    <n v="93.7"/>
    <n v="126.6"/>
    <n v="122.3"/>
    <n v="133.1"/>
    <n v="1552.3"/>
    <n v="131.80000000000001"/>
    <n v="131.5"/>
    <n v="488.09999999999997"/>
    <n v="131.1"/>
    <n v="127.3"/>
    <n v="389"/>
    <n v="130.6"/>
    <n v="122.4"/>
    <n v="247.5"/>
    <n v="124.4"/>
    <n v="125.1"/>
    <n v="122"/>
    <n v="113.8"/>
    <n v="120.1"/>
    <n v="125.1"/>
    <n v="114.2"/>
    <n v="119.2"/>
    <n v="127.7"/>
  </r>
  <r>
    <x v="1"/>
    <x v="2"/>
    <x v="9"/>
    <n v="123.6"/>
    <n v="128.6"/>
    <n v="115.9"/>
    <n v="128.5"/>
    <n v="109"/>
    <n v="124.1"/>
    <n v="165.8"/>
    <n v="187.2"/>
    <n v="89.4"/>
    <n v="135.80000000000001"/>
    <n v="119.4"/>
    <n v="132.9"/>
    <n v="1573.3999999999996"/>
    <n v="132.6"/>
    <n v="135.30000000000001"/>
    <n v="485.90000000000003"/>
    <n v="124.4"/>
    <n v="118.8"/>
    <n v="366.79999999999995"/>
    <n v="123.6"/>
    <n v="122.4"/>
    <n v="243.10000000000002"/>
    <n v="114.9"/>
    <n v="120.7"/>
    <n v="117.7"/>
    <n v="109.3"/>
    <n v="117.7"/>
    <n v="126.5"/>
    <n v="113.5"/>
    <n v="116.5"/>
    <n v="124.2"/>
  </r>
  <r>
    <x v="2"/>
    <x v="2"/>
    <x v="9"/>
    <n v="125"/>
    <n v="129.80000000000001"/>
    <n v="118.9"/>
    <n v="129.1"/>
    <n v="113.3"/>
    <n v="129"/>
    <n v="160.4"/>
    <n v="165.3"/>
    <n v="92.3"/>
    <n v="129.69999999999999"/>
    <n v="121.1"/>
    <n v="133"/>
    <n v="1557.8999999999999"/>
    <n v="132.1"/>
    <n v="132.5"/>
    <n v="486.20000000000005"/>
    <n v="128.5"/>
    <n v="123.8"/>
    <n v="380.1"/>
    <n v="127.8"/>
    <n v="122.4"/>
    <n v="245.4"/>
    <n v="120.8"/>
    <n v="123"/>
    <n v="120.4"/>
    <n v="111.4"/>
    <n v="118.7"/>
    <n v="125.9"/>
    <n v="113.9"/>
    <n v="117.9"/>
    <n v="126.1"/>
  </r>
  <r>
    <x v="0"/>
    <x v="2"/>
    <x v="10"/>
    <n v="126.1"/>
    <n v="130.6"/>
    <n v="121.7"/>
    <n v="129.5"/>
    <n v="117.8"/>
    <n v="132.1"/>
    <n v="155.19999999999999"/>
    <n v="160.80000000000001"/>
    <n v="94.5"/>
    <n v="128.30000000000001"/>
    <n v="123.1"/>
    <n v="134.19999999999999"/>
    <n v="1563.2"/>
    <n v="132.4"/>
    <n v="132.19999999999999"/>
    <n v="490.4"/>
    <n v="132.1"/>
    <n v="128.19999999999999"/>
    <n v="391.79999999999995"/>
    <n v="131.5"/>
    <n v="122.9"/>
    <n v="248.5"/>
    <n v="125.6"/>
    <n v="125.6"/>
    <n v="122.6"/>
    <n v="114"/>
    <n v="120.9"/>
    <n v="125.8"/>
    <n v="114.2"/>
    <n v="119.6"/>
    <n v="128.30000000000001"/>
  </r>
  <r>
    <x v="1"/>
    <x v="2"/>
    <x v="10"/>
    <n v="124"/>
    <n v="129.80000000000001"/>
    <n v="121.5"/>
    <n v="128.6"/>
    <n v="110"/>
    <n v="123.7"/>
    <n v="164.6"/>
    <n v="191.6"/>
    <n v="90.8"/>
    <n v="137.1"/>
    <n v="119.8"/>
    <n v="133.69999999999999"/>
    <n v="1588.6999999999998"/>
    <n v="133.30000000000001"/>
    <n v="137.6"/>
    <n v="488.59999999999997"/>
    <n v="125"/>
    <n v="119.3"/>
    <n v="368.5"/>
    <n v="124.2"/>
    <n v="122.9"/>
    <n v="243.9"/>
    <n v="115.1"/>
    <n v="121"/>
    <n v="118.1"/>
    <n v="109.3"/>
    <n v="117.9"/>
    <n v="126.6"/>
    <n v="113.3"/>
    <n v="116.6"/>
    <n v="124.6"/>
  </r>
  <r>
    <x v="2"/>
    <x v="2"/>
    <x v="10"/>
    <n v="125.4"/>
    <n v="130.30000000000001"/>
    <n v="121.6"/>
    <n v="129.19999999999999"/>
    <n v="114.9"/>
    <n v="128.19999999999999"/>
    <n v="158.4"/>
    <n v="171.2"/>
    <n v="93.3"/>
    <n v="131.19999999999999"/>
    <n v="121.7"/>
    <n v="134"/>
    <n v="1570.3999999999999"/>
    <n v="132.69999999999999"/>
    <n v="133.6"/>
    <n v="488.3"/>
    <n v="129.30000000000001"/>
    <n v="124.5"/>
    <n v="382.4"/>
    <n v="128.6"/>
    <n v="122.9"/>
    <n v="246.3"/>
    <n v="121.6"/>
    <n v="123.4"/>
    <n v="120.9"/>
    <n v="111.5"/>
    <n v="119.2"/>
    <n v="126.3"/>
    <n v="113.8"/>
    <n v="118.1"/>
    <n v="126.6"/>
  </r>
  <r>
    <x v="0"/>
    <x v="2"/>
    <x v="11"/>
    <n v="126.3"/>
    <n v="131.30000000000001"/>
    <n v="123.3"/>
    <n v="129.80000000000001"/>
    <n v="118.3"/>
    <n v="131.6"/>
    <n v="145.5"/>
    <n v="162.1"/>
    <n v="95.4"/>
    <n v="128.9"/>
    <n v="123.3"/>
    <n v="135.1"/>
    <n v="1559"/>
    <n v="131.4"/>
    <n v="133.1"/>
    <n v="492.1"/>
    <n v="132.5"/>
    <n v="128.5"/>
    <n v="392.9"/>
    <n v="131.9"/>
    <n v="122.4"/>
    <n v="248.4"/>
    <n v="125.7"/>
    <n v="126"/>
    <n v="123.1"/>
    <n v="114"/>
    <n v="121.6"/>
    <n v="125.6"/>
    <n v="114.1"/>
    <n v="119.8"/>
    <n v="127.9"/>
  </r>
  <r>
    <x v="1"/>
    <x v="2"/>
    <x v="11"/>
    <n v="124.3"/>
    <n v="131.69999999999999"/>
    <n v="127.1"/>
    <n v="128.6"/>
    <n v="110"/>
    <n v="120.8"/>
    <n v="149"/>
    <n v="190.1"/>
    <n v="92.7"/>
    <n v="138.6"/>
    <n v="120.2"/>
    <n v="134.19999999999999"/>
    <n v="1578.5999999999997"/>
    <n v="131.5"/>
    <n v="138.19999999999999"/>
    <n v="489.7"/>
    <n v="125.4"/>
    <n v="119.5"/>
    <n v="369.4"/>
    <n v="124.5"/>
    <n v="122.4"/>
    <n v="243.4"/>
    <n v="116"/>
    <n v="121"/>
    <n v="118.6"/>
    <n v="109.3"/>
    <n v="118.1"/>
    <n v="126.6"/>
    <n v="113.2"/>
    <n v="116.7"/>
    <n v="124"/>
  </r>
  <r>
    <x v="2"/>
    <x v="2"/>
    <x v="11"/>
    <n v="125.7"/>
    <n v="131.4"/>
    <n v="124.8"/>
    <n v="129.4"/>
    <n v="115.3"/>
    <n v="126.6"/>
    <n v="146.69999999999999"/>
    <n v="171.5"/>
    <n v="94.5"/>
    <n v="132.1"/>
    <n v="122"/>
    <n v="134.69999999999999"/>
    <n v="1564.1000000000001"/>
    <n v="131.4"/>
    <n v="134.5"/>
    <n v="489.8"/>
    <n v="129.69999999999999"/>
    <n v="124.8"/>
    <n v="383.5"/>
    <n v="129"/>
    <n v="122.4"/>
    <n v="246"/>
    <n v="122"/>
    <n v="123.6"/>
    <n v="121.4"/>
    <n v="111.5"/>
    <n v="119.6"/>
    <n v="126.2"/>
    <n v="113.7"/>
    <n v="118.3"/>
    <n v="126.1"/>
  </r>
  <r>
    <x v="0"/>
    <x v="3"/>
    <x v="0"/>
    <n v="126.8"/>
    <n v="133.19999999999999"/>
    <n v="126.5"/>
    <n v="130.30000000000001"/>
    <n v="118.9"/>
    <n v="131.6"/>
    <n v="140.1"/>
    <n v="163.80000000000001"/>
    <n v="97.7"/>
    <n v="129.6"/>
    <n v="124.3"/>
    <n v="135.9"/>
    <n v="1565.8000000000002"/>
    <n v="131.4"/>
    <n v="133.6"/>
    <n v="494.19999999999993"/>
    <n v="133.19999999999999"/>
    <n v="128.9"/>
    <n v="394.70000000000005"/>
    <n v="132.6"/>
    <n v="123.4"/>
    <n v="250"/>
    <n v="126.2"/>
    <n v="126.6"/>
    <n v="123.7"/>
    <n v="113.6"/>
    <n v="121.4"/>
    <n v="126.2"/>
    <n v="114.9"/>
    <n v="120.1"/>
    <n v="128.1"/>
  </r>
  <r>
    <x v="1"/>
    <x v="3"/>
    <x v="0"/>
    <n v="124.7"/>
    <n v="135.9"/>
    <n v="132"/>
    <n v="129.19999999999999"/>
    <n v="109.7"/>
    <n v="119"/>
    <n v="144.1"/>
    <n v="184.2"/>
    <n v="96.7"/>
    <n v="139.5"/>
    <n v="120.5"/>
    <n v="134.69999999999999"/>
    <n v="1580.9"/>
    <n v="131.19999999999999"/>
    <n v="139.5"/>
    <n v="492.5"/>
    <n v="125.8"/>
    <n v="119.8"/>
    <n v="370.5"/>
    <n v="124.9"/>
    <n v="123.4"/>
    <n v="245"/>
    <n v="116.9"/>
    <n v="121.6"/>
    <n v="119.1"/>
    <n v="108.9"/>
    <n v="118.5"/>
    <n v="126.4"/>
    <n v="114"/>
    <n v="116.8"/>
    <n v="124.2"/>
  </r>
  <r>
    <x v="2"/>
    <x v="3"/>
    <x v="0"/>
    <n v="126.1"/>
    <n v="134.1"/>
    <n v="128.6"/>
    <n v="129.9"/>
    <n v="115.5"/>
    <n v="125.7"/>
    <n v="141.5"/>
    <n v="170.7"/>
    <n v="97.4"/>
    <n v="132.9"/>
    <n v="122.7"/>
    <n v="135.30000000000001"/>
    <n v="1568.9999999999998"/>
    <n v="131.30000000000001"/>
    <n v="135.19999999999999"/>
    <n v="492.2"/>
    <n v="130.30000000000001"/>
    <n v="125.1"/>
    <n v="384.9"/>
    <n v="129.5"/>
    <n v="123.4"/>
    <n v="247.60000000000002"/>
    <n v="122.7"/>
    <n v="124.2"/>
    <n v="122"/>
    <n v="111.1"/>
    <n v="119.8"/>
    <n v="126.3"/>
    <n v="114.5"/>
    <n v="118.5"/>
    <n v="126.3"/>
  </r>
  <r>
    <x v="0"/>
    <x v="3"/>
    <x v="1"/>
    <n v="127.1"/>
    <n v="133.69999999999999"/>
    <n v="127.7"/>
    <n v="130.69999999999999"/>
    <n v="118.5"/>
    <n v="130.4"/>
    <n v="130.9"/>
    <n v="162.80000000000001"/>
    <n v="98.7"/>
    <n v="130.6"/>
    <n v="124.8"/>
    <n v="136.4"/>
    <n v="1557.8"/>
    <n v="130.30000000000001"/>
    <n v="134.4"/>
    <n v="498.3"/>
    <n v="133.9"/>
    <n v="129.80000000000001"/>
    <n v="397.1"/>
    <n v="133.4"/>
    <n v="124.4"/>
    <n v="251.5"/>
    <n v="127.5"/>
    <n v="127.1"/>
    <n v="124.3"/>
    <n v="113.9"/>
    <n v="122.3"/>
    <n v="127.1"/>
    <n v="116.8"/>
    <n v="120.9"/>
    <n v="127.9"/>
  </r>
  <r>
    <x v="1"/>
    <x v="3"/>
    <x v="1"/>
    <n v="124.8"/>
    <n v="135.1"/>
    <n v="130.30000000000001"/>
    <n v="129.6"/>
    <n v="108.4"/>
    <n v="118.6"/>
    <n v="129.19999999999999"/>
    <n v="176.4"/>
    <n v="99.1"/>
    <n v="139.69999999999999"/>
    <n v="120.6"/>
    <n v="135.19999999999999"/>
    <n v="1555.4999999999995"/>
    <n v="129.1"/>
    <n v="140"/>
    <n v="495.6"/>
    <n v="126.2"/>
    <n v="120.1"/>
    <n v="371.6"/>
    <n v="125.3"/>
    <n v="124.4"/>
    <n v="246.2"/>
    <n v="116"/>
    <n v="121.8"/>
    <n v="119.5"/>
    <n v="109.1"/>
    <n v="118.8"/>
    <n v="126.3"/>
    <n v="116.2"/>
    <n v="117.2"/>
    <n v="123.8"/>
  </r>
  <r>
    <x v="2"/>
    <x v="3"/>
    <x v="1"/>
    <n v="126.4"/>
    <n v="134.19999999999999"/>
    <n v="128.69999999999999"/>
    <n v="130.30000000000001"/>
    <n v="114.8"/>
    <n v="124.9"/>
    <n v="130.30000000000001"/>
    <n v="167.4"/>
    <n v="98.8"/>
    <n v="133.6"/>
    <n v="123"/>
    <n v="135.80000000000001"/>
    <n v="1555.1000000000004"/>
    <n v="129.9"/>
    <n v="135.9"/>
    <n v="495.79999999999995"/>
    <n v="130.9"/>
    <n v="125.8"/>
    <n v="386.9"/>
    <n v="130.19999999999999"/>
    <n v="124.4"/>
    <n v="249"/>
    <n v="123.1"/>
    <n v="124.6"/>
    <n v="122.5"/>
    <n v="111.4"/>
    <n v="120.3"/>
    <n v="126.6"/>
    <n v="116.6"/>
    <n v="119.1"/>
    <n v="126"/>
  </r>
  <r>
    <x v="0"/>
    <x v="3"/>
    <x v="2"/>
    <n v="127.3"/>
    <n v="134.4"/>
    <n v="125.1"/>
    <n v="130.5"/>
    <n v="118.3"/>
    <n v="131.69999999999999"/>
    <n v="130.69999999999999"/>
    <n v="161.19999999999999"/>
    <n v="100.4"/>
    <n v="130.80000000000001"/>
    <n v="124.9"/>
    <n v="137"/>
    <n v="1557.8000000000002"/>
    <n v="130.4"/>
    <n v="135"/>
    <n v="499.79999999999995"/>
    <n v="134.4"/>
    <n v="130.19999999999999"/>
    <n v="398.40000000000003"/>
    <n v="133.80000000000001"/>
    <n v="124.9"/>
    <n v="252.60000000000002"/>
    <n v="127"/>
    <n v="127.7"/>
    <n v="124.8"/>
    <n v="113.6"/>
    <n v="122.5"/>
    <n v="127.5"/>
    <n v="117.4"/>
    <n v="121.1"/>
    <n v="128"/>
  </r>
  <r>
    <x v="1"/>
    <x v="3"/>
    <x v="2"/>
    <n v="124.8"/>
    <n v="136.30000000000001"/>
    <n v="123.7"/>
    <n v="129.69999999999999"/>
    <n v="107.9"/>
    <n v="119.9"/>
    <n v="128.1"/>
    <n v="170.3"/>
    <n v="101.8"/>
    <n v="140.1"/>
    <n v="120.7"/>
    <n v="135.4"/>
    <n v="1546.9"/>
    <n v="128.9"/>
    <n v="140.6"/>
    <n v="497.5"/>
    <n v="126.4"/>
    <n v="120.3"/>
    <n v="372.2"/>
    <n v="125.5"/>
    <n v="124.9"/>
    <n v="247.2"/>
    <n v="114.8"/>
    <n v="122.3"/>
    <n v="119.7"/>
    <n v="108.5"/>
    <n v="119.1"/>
    <n v="126.4"/>
    <n v="117.1"/>
    <n v="117.3"/>
    <n v="123.8"/>
  </r>
  <r>
    <x v="2"/>
    <x v="3"/>
    <x v="2"/>
    <n v="126.5"/>
    <n v="135.1"/>
    <n v="124.6"/>
    <n v="130.19999999999999"/>
    <n v="114.5"/>
    <n v="126.2"/>
    <n v="129.80000000000001"/>
    <n v="164.3"/>
    <n v="100.9"/>
    <n v="133.9"/>
    <n v="123.1"/>
    <n v="136.30000000000001"/>
    <n v="1552.1"/>
    <n v="129.80000000000001"/>
    <n v="136.5"/>
    <n v="497.50000000000006"/>
    <n v="131.30000000000001"/>
    <n v="126.1"/>
    <n v="387.9"/>
    <n v="130.5"/>
    <n v="124.9"/>
    <n v="250"/>
    <n v="122.4"/>
    <n v="125.1"/>
    <n v="122.9"/>
    <n v="110.9"/>
    <n v="120.6"/>
    <n v="126.9"/>
    <n v="117.3"/>
    <n v="119.3"/>
    <n v="126"/>
  </r>
  <r>
    <x v="0"/>
    <x v="3"/>
    <x v="3"/>
    <n v="127.4"/>
    <n v="135.4"/>
    <n v="123.4"/>
    <n v="131.30000000000001"/>
    <n v="118.2"/>
    <n v="138.1"/>
    <n v="134.1"/>
    <n v="162.69999999999999"/>
    <n v="105"/>
    <n v="131.4"/>
    <n v="125.4"/>
    <n v="137.4"/>
    <n v="1576.2000000000003"/>
    <n v="131.80000000000001"/>
    <n v="135.5"/>
    <n v="502.5"/>
    <n v="135"/>
    <n v="130.6"/>
    <n v="400"/>
    <n v="134.4"/>
    <n v="125.6"/>
    <n v="253.6"/>
    <n v="127"/>
    <n v="128"/>
    <n v="125.2"/>
    <n v="114.4"/>
    <n v="123.2"/>
    <n v="127.9"/>
    <n v="118.4"/>
    <n v="121.7"/>
    <n v="129"/>
  </r>
  <r>
    <x v="1"/>
    <x v="3"/>
    <x v="3"/>
    <n v="124.9"/>
    <n v="139.30000000000001"/>
    <n v="119.9"/>
    <n v="130.19999999999999"/>
    <n v="108.9"/>
    <n v="131.1"/>
    <n v="136.80000000000001"/>
    <n v="176.9"/>
    <n v="109.1"/>
    <n v="140.4"/>
    <n v="121.1"/>
    <n v="135.9"/>
    <n v="1585.2"/>
    <n v="131.80000000000001"/>
    <n v="141.5"/>
    <n v="499.70000000000005"/>
    <n v="126.8"/>
    <n v="120.5"/>
    <n v="373.1"/>
    <n v="125.8"/>
    <n v="125.6"/>
    <n v="248.39999999999998"/>
    <n v="114.6"/>
    <n v="122.8"/>
    <n v="120"/>
    <n v="110"/>
    <n v="119.5"/>
    <n v="127.6"/>
    <n v="117.6"/>
    <n v="118.2"/>
    <n v="125.3"/>
  </r>
  <r>
    <x v="2"/>
    <x v="3"/>
    <x v="3"/>
    <n v="126.6"/>
    <n v="136.80000000000001"/>
    <n v="122"/>
    <n v="130.9"/>
    <n v="114.8"/>
    <n v="134.80000000000001"/>
    <n v="135"/>
    <n v="167.5"/>
    <n v="106.4"/>
    <n v="134.4"/>
    <n v="123.6"/>
    <n v="136.69999999999999"/>
    <n v="1577.6999999999998"/>
    <n v="131.80000000000001"/>
    <n v="137.1"/>
    <n v="499.9"/>
    <n v="131.80000000000001"/>
    <n v="126.4"/>
    <n v="389.20000000000005"/>
    <n v="131"/>
    <n v="125.6"/>
    <n v="251.1"/>
    <n v="122.3"/>
    <n v="125.5"/>
    <n v="123.2"/>
    <n v="112.1"/>
    <n v="121.1"/>
    <n v="127.7"/>
    <n v="118.1"/>
    <n v="120"/>
    <n v="127.3"/>
  </r>
  <r>
    <x v="0"/>
    <x v="3"/>
    <x v="4"/>
    <n v="127.6"/>
    <n v="137.5"/>
    <n v="124.4"/>
    <n v="132.4"/>
    <n v="118.2"/>
    <n v="138.1"/>
    <n v="141.80000000000001"/>
    <n v="166"/>
    <n v="107.5"/>
    <n v="132.19999999999999"/>
    <n v="126.1"/>
    <n v="138.30000000000001"/>
    <n v="1597.6"/>
    <n v="133.6"/>
    <n v="136"/>
    <n v="505.40000000000003"/>
    <n v="135.4"/>
    <n v="131.1"/>
    <n v="401.3"/>
    <n v="134.80000000000001"/>
    <n v="126"/>
    <n v="254.5"/>
    <n v="127.4"/>
    <n v="128.5"/>
    <n v="125.8"/>
    <n v="115.1"/>
    <n v="123.6"/>
    <n v="129.1"/>
    <n v="119.7"/>
    <n v="122.5"/>
    <n v="130.30000000000001"/>
  </r>
  <r>
    <x v="1"/>
    <x v="3"/>
    <x v="4"/>
    <n v="125"/>
    <n v="142.1"/>
    <n v="127"/>
    <n v="130.4"/>
    <n v="109.6"/>
    <n v="133.5"/>
    <n v="151.4"/>
    <n v="182.8"/>
    <n v="111.1"/>
    <n v="141.5"/>
    <n v="121.5"/>
    <n v="136.30000000000001"/>
    <n v="1625.3"/>
    <n v="134.6"/>
    <n v="142.19999999999999"/>
    <n v="502"/>
    <n v="127.2"/>
    <n v="120.7"/>
    <n v="374.1"/>
    <n v="126.2"/>
    <n v="126"/>
    <n v="249.2"/>
    <n v="115"/>
    <n v="123.2"/>
    <n v="120.3"/>
    <n v="110.7"/>
    <n v="119.8"/>
    <n v="128"/>
    <n v="118.5"/>
    <n v="118.7"/>
    <n v="126.6"/>
  </r>
  <r>
    <x v="2"/>
    <x v="3"/>
    <x v="4"/>
    <n v="126.8"/>
    <n v="139.1"/>
    <n v="125.4"/>
    <n v="131.69999999999999"/>
    <n v="115"/>
    <n v="136"/>
    <n v="145.1"/>
    <n v="171.7"/>
    <n v="108.7"/>
    <n v="135.30000000000001"/>
    <n v="124.2"/>
    <n v="137.4"/>
    <n v="1606.2"/>
    <n v="134"/>
    <n v="137.69999999999999"/>
    <n v="502.59999999999997"/>
    <n v="132.19999999999999"/>
    <n v="126.8"/>
    <n v="390.4"/>
    <n v="131.4"/>
    <n v="126"/>
    <n v="252"/>
    <n v="122.7"/>
    <n v="126"/>
    <n v="123.7"/>
    <n v="112.8"/>
    <n v="121.5"/>
    <n v="128.5"/>
    <n v="119.2"/>
    <n v="120.7"/>
    <n v="128.6"/>
  </r>
  <r>
    <x v="0"/>
    <x v="3"/>
    <x v="5"/>
    <n v="128.6"/>
    <n v="138.6"/>
    <n v="126.6"/>
    <n v="133.6"/>
    <n v="118.6"/>
    <n v="137.4"/>
    <n v="152.5"/>
    <n v="169.2"/>
    <n v="108.8"/>
    <n v="133.1"/>
    <n v="126.4"/>
    <n v="139.19999999999999"/>
    <n v="1622.1999999999996"/>
    <n v="136"/>
    <n v="137.19999999999999"/>
    <n v="507.6"/>
    <n v="136.30000000000001"/>
    <n v="131.6"/>
    <n v="403.5"/>
    <n v="135.6"/>
    <n v="125.5"/>
    <n v="254.8"/>
    <n v="128"/>
    <n v="129.30000000000001"/>
    <n v="126.2"/>
    <n v="116.3"/>
    <n v="124.1"/>
    <n v="130.19999999999999"/>
    <n v="119.9"/>
    <n v="123.3"/>
    <n v="131.9"/>
  </r>
  <r>
    <x v="1"/>
    <x v="3"/>
    <x v="5"/>
    <n v="125.9"/>
    <n v="143.9"/>
    <n v="130.9"/>
    <n v="131"/>
    <n v="110.2"/>
    <n v="135.5"/>
    <n v="173.7"/>
    <n v="184.4"/>
    <n v="112"/>
    <n v="142.80000000000001"/>
    <n v="121.6"/>
    <n v="136.9"/>
    <n v="1665.4000000000003"/>
    <n v="138.19999999999999"/>
    <n v="142.69999999999999"/>
    <n v="502.99999999999994"/>
    <n v="127.6"/>
    <n v="121.1"/>
    <n v="375.29999999999995"/>
    <n v="126.6"/>
    <n v="125.5"/>
    <n v="248.7"/>
    <n v="115.5"/>
    <n v="123.2"/>
    <n v="120.6"/>
    <n v="112.3"/>
    <n v="119.9"/>
    <n v="129.30000000000001"/>
    <n v="118.8"/>
    <n v="119.6"/>
    <n v="128.1"/>
  </r>
  <r>
    <x v="2"/>
    <x v="3"/>
    <x v="5"/>
    <n v="127.7"/>
    <n v="140.5"/>
    <n v="128.30000000000001"/>
    <n v="132.6"/>
    <n v="115.5"/>
    <n v="136.5"/>
    <n v="159.69999999999999"/>
    <n v="174.3"/>
    <n v="109.9"/>
    <n v="136.30000000000001"/>
    <n v="124.4"/>
    <n v="138.1"/>
    <n v="1636.1999999999998"/>
    <n v="136.80000000000001"/>
    <n v="138.69999999999999"/>
    <n v="504.20000000000005"/>
    <n v="132.9"/>
    <n v="127.2"/>
    <n v="392.1"/>
    <n v="132"/>
    <n v="125.5"/>
    <n v="251.9"/>
    <n v="123.3"/>
    <n v="126.4"/>
    <n v="124.1"/>
    <n v="114.2"/>
    <n v="121.7"/>
    <n v="129.69999999999999"/>
    <n v="119.4"/>
    <n v="121.5"/>
    <n v="130.1"/>
  </r>
  <r>
    <x v="0"/>
    <x v="3"/>
    <x v="6"/>
    <n v="129.30000000000001"/>
    <n v="139.5"/>
    <n v="129.6"/>
    <n v="134.5"/>
    <n v="119.5"/>
    <n v="138.5"/>
    <n v="158.19999999999999"/>
    <n v="171.8"/>
    <n v="110.3"/>
    <n v="134.30000000000001"/>
    <n v="127.3"/>
    <n v="139.9"/>
    <n v="1642.9999999999998"/>
    <n v="137.6"/>
    <n v="138"/>
    <n v="511.4"/>
    <n v="137.19999999999999"/>
    <n v="132.19999999999999"/>
    <n v="405.9"/>
    <n v="136.5"/>
    <n v="126.4"/>
    <n v="256.39999999999998"/>
    <n v="128.19999999999999"/>
    <n v="130"/>
    <n v="126.7"/>
    <n v="116.4"/>
    <n v="125.2"/>
    <n v="130.80000000000001"/>
    <n v="120.9"/>
    <n v="123.8"/>
    <n v="133"/>
  </r>
  <r>
    <x v="1"/>
    <x v="3"/>
    <x v="6"/>
    <n v="126.8"/>
    <n v="144.19999999999999"/>
    <n v="136.6"/>
    <n v="131.80000000000001"/>
    <n v="111"/>
    <n v="137"/>
    <n v="179.5"/>
    <n v="188.4"/>
    <n v="113.3"/>
    <n v="143.9"/>
    <n v="121.7"/>
    <n v="137.5"/>
    <n v="1689.8"/>
    <n v="139.80000000000001"/>
    <n v="142.9"/>
    <n v="504.90000000000003"/>
    <n v="127.9"/>
    <n v="121.1"/>
    <n v="375.9"/>
    <n v="126.9"/>
    <n v="126.4"/>
    <n v="249.9"/>
    <n v="115.5"/>
    <n v="123.5"/>
    <n v="120.9"/>
    <n v="111.7"/>
    <n v="120.3"/>
    <n v="130.80000000000001"/>
    <n v="120"/>
    <n v="119.9"/>
    <n v="129"/>
  </r>
  <r>
    <x v="2"/>
    <x v="3"/>
    <x v="6"/>
    <n v="128.5"/>
    <n v="141.19999999999999"/>
    <n v="132.30000000000001"/>
    <n v="133.5"/>
    <n v="116.4"/>
    <n v="137.80000000000001"/>
    <n v="165.4"/>
    <n v="177.4"/>
    <n v="111.3"/>
    <n v="137.5"/>
    <n v="125"/>
    <n v="138.80000000000001"/>
    <n v="1658.5"/>
    <n v="138.4"/>
    <n v="139.30000000000001"/>
    <n v="507.20000000000005"/>
    <n v="133.5"/>
    <n v="127.6"/>
    <n v="393.8"/>
    <n v="132.69999999999999"/>
    <n v="126.4"/>
    <n v="253.3"/>
    <n v="123.4"/>
    <n v="126.9"/>
    <n v="124.5"/>
    <n v="113.9"/>
    <n v="122.4"/>
    <n v="130.80000000000001"/>
    <n v="120.5"/>
    <n v="121.9"/>
    <n v="131.1"/>
  </r>
  <r>
    <x v="0"/>
    <x v="3"/>
    <x v="7"/>
    <n v="130.1"/>
    <n v="138.80000000000001"/>
    <n v="130.30000000000001"/>
    <n v="135.30000000000001"/>
    <n v="119.9"/>
    <n v="140.19999999999999"/>
    <n v="156.9"/>
    <n v="172.2"/>
    <n v="112.1"/>
    <n v="134.9"/>
    <n v="128.1"/>
    <n v="140.69999999999999"/>
    <n v="1649.3999999999999"/>
    <n v="138"/>
    <n v="138.9"/>
    <n v="514.5"/>
    <n v="137.80000000000001"/>
    <n v="133"/>
    <n v="407.9"/>
    <n v="137.1"/>
    <n v="127.3"/>
    <n v="257.89999999999998"/>
    <n v="129.1"/>
    <n v="130.6"/>
    <n v="127"/>
    <n v="116"/>
    <n v="125.5"/>
    <n v="131.9"/>
    <n v="122"/>
    <n v="124.2"/>
    <n v="133.5"/>
  </r>
  <r>
    <x v="1"/>
    <x v="3"/>
    <x v="7"/>
    <n v="127.6"/>
    <n v="140.30000000000001"/>
    <n v="133.69999999999999"/>
    <n v="132.19999999999999"/>
    <n v="111.8"/>
    <n v="135.80000000000001"/>
    <n v="163.5"/>
    <n v="182.3"/>
    <n v="114.6"/>
    <n v="144.6"/>
    <n v="121.9"/>
    <n v="138.1"/>
    <n v="1662.0999999999997"/>
    <n v="137.6"/>
    <n v="143.6"/>
    <n v="507"/>
    <n v="128.30000000000001"/>
    <n v="121.4"/>
    <n v="377"/>
    <n v="127.3"/>
    <n v="127.3"/>
    <n v="251.2"/>
    <n v="114.7"/>
    <n v="123.9"/>
    <n v="121.2"/>
    <n v="110.4"/>
    <n v="120.6"/>
    <n v="131.5"/>
    <n v="120.9"/>
    <n v="119.9"/>
    <n v="128.4"/>
  </r>
  <r>
    <x v="2"/>
    <x v="3"/>
    <x v="7"/>
    <n v="129.30000000000001"/>
    <n v="139.30000000000001"/>
    <n v="131.6"/>
    <n v="134.1"/>
    <n v="116.9"/>
    <n v="138.1"/>
    <n v="159.1"/>
    <n v="175.6"/>
    <n v="112.9"/>
    <n v="138.1"/>
    <n v="125.5"/>
    <n v="139.5"/>
    <n v="1652.3999999999999"/>
    <n v="137.9"/>
    <n v="140.19999999999999"/>
    <n v="509.9"/>
    <n v="134.1"/>
    <n v="128.19999999999999"/>
    <n v="395.49999999999994"/>
    <n v="133.19999999999999"/>
    <n v="127.3"/>
    <n v="254.7"/>
    <n v="123.6"/>
    <n v="127.4"/>
    <n v="124.8"/>
    <n v="113.1"/>
    <n v="122.7"/>
    <n v="131.69999999999999"/>
    <n v="121.5"/>
    <n v="122.1"/>
    <n v="131.1"/>
  </r>
  <r>
    <x v="0"/>
    <x v="3"/>
    <x v="8"/>
    <n v="130.80000000000001"/>
    <n v="138.19999999999999"/>
    <n v="130.5"/>
    <n v="135.5"/>
    <n v="120.2"/>
    <n v="139.19999999999999"/>
    <n v="149.5"/>
    <n v="170.4"/>
    <n v="113.1"/>
    <n v="135.80000000000001"/>
    <n v="128.80000000000001"/>
    <n v="141.5"/>
    <n v="1641.9"/>
    <n v="137.19999999999999"/>
    <n v="139.9"/>
    <n v="517.20000000000005"/>
    <n v="138.5"/>
    <n v="133.5"/>
    <n v="409.8"/>
    <n v="137.80000000000001"/>
    <n v="127.9"/>
    <n v="259"/>
    <n v="129.69999999999999"/>
    <n v="131.1"/>
    <n v="127.8"/>
    <n v="117"/>
    <n v="125.7"/>
    <n v="132.19999999999999"/>
    <n v="122.8"/>
    <n v="124.9"/>
    <n v="133.4"/>
  </r>
  <r>
    <x v="1"/>
    <x v="3"/>
    <x v="8"/>
    <n v="128.1"/>
    <n v="137.69999999999999"/>
    <n v="130.6"/>
    <n v="132.6"/>
    <n v="111.9"/>
    <n v="132.5"/>
    <n v="152.9"/>
    <n v="173.6"/>
    <n v="115.1"/>
    <n v="144.80000000000001"/>
    <n v="122.1"/>
    <n v="138.80000000000001"/>
    <n v="1634.3"/>
    <n v="135.69999999999999"/>
    <n v="143.9"/>
    <n v="508"/>
    <n v="128.69999999999999"/>
    <n v="121.6"/>
    <n v="378"/>
    <n v="127.7"/>
    <n v="127.9"/>
    <n v="252.2"/>
    <n v="114.8"/>
    <n v="124.3"/>
    <n v="121.4"/>
    <n v="111.8"/>
    <n v="120.8"/>
    <n v="131.6"/>
    <n v="121.2"/>
    <n v="120.5"/>
    <n v="128"/>
  </r>
  <r>
    <x v="2"/>
    <x v="3"/>
    <x v="8"/>
    <n v="129.9"/>
    <n v="138"/>
    <n v="130.5"/>
    <n v="134.4"/>
    <n v="117.2"/>
    <n v="136.1"/>
    <n v="150.69999999999999"/>
    <n v="171.5"/>
    <n v="113.8"/>
    <n v="138.80000000000001"/>
    <n v="126"/>
    <n v="140.19999999999999"/>
    <n v="1637.7"/>
    <n v="136.6"/>
    <n v="141"/>
    <n v="512"/>
    <n v="134.6"/>
    <n v="128.6"/>
    <n v="397"/>
    <n v="133.80000000000001"/>
    <n v="127.9"/>
    <n v="255.8"/>
    <n v="124.1"/>
    <n v="127.9"/>
    <n v="125.4"/>
    <n v="114.3"/>
    <n v="122.9"/>
    <n v="131.80000000000001"/>
    <n v="122.1"/>
    <n v="122.8"/>
    <n v="130.9"/>
  </r>
  <r>
    <x v="0"/>
    <x v="3"/>
    <x v="9"/>
    <n v="131.30000000000001"/>
    <n v="137.6"/>
    <n v="130.1"/>
    <n v="136"/>
    <n v="120.8"/>
    <n v="138.4"/>
    <n v="149.19999999999999"/>
    <n v="170.2"/>
    <n v="113.4"/>
    <n v="136.30000000000001"/>
    <n v="128.69999999999999"/>
    <n v="142.4"/>
    <n v="1643.0999999999997"/>
    <n v="137.4"/>
    <n v="140.9"/>
    <n v="519.1"/>
    <n v="139.6"/>
    <n v="134.30000000000001"/>
    <n v="412.7"/>
    <n v="138.80000000000001"/>
    <n v="128.69999999999999"/>
    <n v="260.5"/>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640.4"/>
    <n v="136.30000000000001"/>
    <n v="144.30000000000001"/>
    <n v="508.8"/>
    <n v="129.1"/>
    <n v="121.9"/>
    <n v="379"/>
    <n v="128"/>
    <n v="128.69999999999999"/>
    <n v="253.2"/>
    <n v="115.2"/>
    <n v="124.5"/>
    <n v="121.8"/>
    <n v="112.8"/>
    <n v="121.2"/>
    <n v="131.9"/>
    <n v="120.8"/>
    <n v="120.9"/>
    <n v="128.6"/>
  </r>
  <r>
    <x v="2"/>
    <x v="3"/>
    <x v="9"/>
    <n v="130.5"/>
    <n v="137.9"/>
    <n v="130.19999999999999"/>
    <n v="134.80000000000001"/>
    <n v="117.8"/>
    <n v="134.69999999999999"/>
    <n v="151.19999999999999"/>
    <n v="172.1"/>
    <n v="114.1"/>
    <n v="139.30000000000001"/>
    <n v="126.1"/>
    <n v="141.1"/>
    <n v="1640.7"/>
    <n v="137"/>
    <n v="141.80000000000001"/>
    <n v="513.5"/>
    <n v="135.5"/>
    <n v="129.1"/>
    <n v="399.1"/>
    <n v="134.5"/>
    <n v="128.69999999999999"/>
    <n v="257.10000000000002"/>
    <n v="124.3"/>
    <n v="128.4"/>
    <n v="126.1"/>
    <n v="115.2"/>
    <n v="123.5"/>
    <n v="132.4"/>
    <n v="122.1"/>
    <n v="123.4"/>
    <n v="131.4"/>
  </r>
  <r>
    <x v="0"/>
    <x v="3"/>
    <x v="10"/>
    <n v="132"/>
    <n v="137.4"/>
    <n v="130.6"/>
    <n v="136.19999999999999"/>
    <n v="121.1"/>
    <n v="136.9"/>
    <n v="141.80000000000001"/>
    <n v="170"/>
    <n v="113.4"/>
    <n v="136.80000000000001"/>
    <n v="128.69999999999999"/>
    <n v="143.1"/>
    <n v="1635.8999999999999"/>
    <n v="136.6"/>
    <n v="141.19999999999999"/>
    <n v="520.29999999999995"/>
    <n v="139.9"/>
    <n v="134.5"/>
    <n v="413.59999999999997"/>
    <n v="139.19999999999999"/>
    <n v="129.1"/>
    <n v="261.2"/>
    <n v="130.30000000000001"/>
    <n v="132.1"/>
    <n v="129.1"/>
    <n v="118.2"/>
    <n v="126.9"/>
    <n v="133.69999999999999"/>
    <n v="123.5"/>
    <n v="126.1"/>
    <n v="133.6"/>
  </r>
  <r>
    <x v="1"/>
    <x v="3"/>
    <x v="10"/>
    <n v="130.19999999999999"/>
    <n v="138.5"/>
    <n v="134.1"/>
    <n v="132.9"/>
    <n v="112.6"/>
    <n v="130.80000000000001"/>
    <n v="142"/>
    <n v="174.9"/>
    <n v="115.6"/>
    <n v="145.4"/>
    <n v="122.7"/>
    <n v="140.30000000000001"/>
    <n v="1632.5"/>
    <n v="135.19999999999999"/>
    <n v="144.30000000000001"/>
    <n v="510"/>
    <n v="129.6"/>
    <n v="122.1"/>
    <n v="380.2"/>
    <n v="128.5"/>
    <n v="129.1"/>
    <n v="253.8"/>
    <n v="116.2"/>
    <n v="124.7"/>
    <n v="122.1"/>
    <n v="113.4"/>
    <n v="121.7"/>
    <n v="132.1"/>
    <n v="121.3"/>
    <n v="121.3"/>
    <n v="128.5"/>
  </r>
  <r>
    <x v="2"/>
    <x v="3"/>
    <x v="10"/>
    <n v="131.4"/>
    <n v="137.80000000000001"/>
    <n v="132"/>
    <n v="135"/>
    <n v="118"/>
    <n v="134.1"/>
    <n v="141.9"/>
    <n v="171.7"/>
    <n v="114.1"/>
    <n v="139.69999999999999"/>
    <n v="126.2"/>
    <n v="141.80000000000001"/>
    <n v="1633.6"/>
    <n v="136.1"/>
    <n v="142"/>
    <n v="514.79999999999995"/>
    <n v="135.80000000000001"/>
    <n v="129.30000000000001"/>
    <n v="400.1"/>
    <n v="135"/>
    <n v="129.1"/>
    <n v="257.7"/>
    <n v="125"/>
    <n v="128.6"/>
    <n v="126.4"/>
    <n v="115.7"/>
    <n v="124"/>
    <n v="132.80000000000001"/>
    <n v="122.6"/>
    <n v="123.8"/>
    <n v="131.19999999999999"/>
  </r>
  <r>
    <x v="0"/>
    <x v="3"/>
    <x v="11"/>
    <n v="132.6"/>
    <n v="137.30000000000001"/>
    <n v="131.6"/>
    <n v="136.30000000000001"/>
    <n v="121.6"/>
    <n v="135.6"/>
    <n v="127.5"/>
    <n v="167.9"/>
    <n v="113.8"/>
    <n v="137.5"/>
    <n v="129.1"/>
    <n v="143.6"/>
    <n v="1620"/>
    <n v="134.69999999999999"/>
    <n v="142.4"/>
    <n v="520.70000000000005"/>
    <n v="140.4"/>
    <n v="135.19999999999999"/>
    <n v="415.3"/>
    <n v="139.69999999999999"/>
    <s v="128..5"/>
    <n v="132.9"/>
    <n v="132"/>
    <n v="132.9"/>
    <n v="129.69999999999999"/>
    <n v="118.6"/>
    <n v="127.3"/>
    <n v="134.19999999999999"/>
    <n v="121.9"/>
    <n v="126.3"/>
    <n v="132.80000000000001"/>
  </r>
  <r>
    <x v="1"/>
    <x v="3"/>
    <x v="11"/>
    <n v="131.6"/>
    <n v="138.19999999999999"/>
    <n v="134.9"/>
    <n v="133.1"/>
    <n v="113.5"/>
    <n v="129.30000000000001"/>
    <n v="121.1"/>
    <n v="170.3"/>
    <n v="115.5"/>
    <n v="145.5"/>
    <n v="123.1"/>
    <n v="140.9"/>
    <n v="1606.7"/>
    <n v="132.80000000000001"/>
    <n v="145"/>
    <n v="509.80000000000007"/>
    <n v="130"/>
    <n v="122.2"/>
    <n v="381"/>
    <n v="128.80000000000001"/>
    <n v="128.5"/>
    <n v="253.5"/>
    <n v="117.8"/>
    <n v="125"/>
    <n v="122.3"/>
    <n v="113.7"/>
    <n v="121.8"/>
    <n v="132.30000000000001"/>
    <n v="119.9"/>
    <n v="121.4"/>
    <n v="127.6"/>
  </r>
  <r>
    <x v="2"/>
    <x v="3"/>
    <x v="11"/>
    <n v="132.30000000000001"/>
    <n v="137.6"/>
    <n v="132.9"/>
    <n v="135.1"/>
    <n v="118.6"/>
    <n v="132.69999999999999"/>
    <n v="125.3"/>
    <n v="168.7"/>
    <n v="114.4"/>
    <n v="140.19999999999999"/>
    <n v="126.6"/>
    <n v="142.30000000000001"/>
    <n v="1614.1"/>
    <n v="134"/>
    <n v="143.1"/>
    <n v="515"/>
    <n v="136.30000000000001"/>
    <n v="129.80000000000001"/>
    <n v="401.5"/>
    <n v="135.4"/>
    <n v="128.5"/>
    <n v="257.7"/>
    <n v="126.6"/>
    <n v="129.19999999999999"/>
    <n v="126.9"/>
    <n v="116"/>
    <n v="124.2"/>
    <n v="133.1"/>
    <n v="121.1"/>
    <n v="123.9"/>
    <n v="130.4"/>
  </r>
  <r>
    <x v="0"/>
    <x v="4"/>
    <x v="0"/>
    <n v="133.1"/>
    <n v="137.80000000000001"/>
    <n v="131.9"/>
    <n v="136.69999999999999"/>
    <n v="122"/>
    <n v="136"/>
    <n v="119.8"/>
    <n v="161.69999999999999"/>
    <n v="114.8"/>
    <n v="136.9"/>
    <n v="129"/>
    <n v="143.9"/>
    <n v="1608.3"/>
    <n v="133.69999999999999"/>
    <n v="143.1"/>
    <n v="521.4"/>
    <n v="140.69999999999999"/>
    <n v="135.80000000000001"/>
    <n v="416.5"/>
    <n v="140"/>
    <n v="129.6"/>
    <n v="262.79999999999995"/>
    <n v="132.1"/>
    <n v="133.19999999999999"/>
    <n v="129.9"/>
    <n v="119.1"/>
    <n v="127"/>
    <n v="134.6"/>
    <n v="122.3"/>
    <n v="126.6"/>
    <n v="132.4"/>
  </r>
  <r>
    <x v="1"/>
    <x v="4"/>
    <x v="0"/>
    <n v="132.19999999999999"/>
    <n v="138.9"/>
    <n v="132.6"/>
    <n v="133.1"/>
    <n v="114"/>
    <n v="129.6"/>
    <n v="118.7"/>
    <n v="155.1"/>
    <n v="117.3"/>
    <n v="144.9"/>
    <n v="123.2"/>
    <n v="141.6"/>
    <n v="1590"/>
    <n v="132"/>
    <n v="145.6"/>
    <n v="511.70000000000005"/>
    <n v="130.19999999999999"/>
    <n v="122.3"/>
    <n v="381.5"/>
    <n v="129"/>
    <n v="129.6"/>
    <n v="254.7"/>
    <n v="118"/>
    <n v="125.1"/>
    <n v="122.6"/>
    <n v="115.2"/>
    <n v="122"/>
    <n v="132.4"/>
    <n v="120.9"/>
    <n v="122.1"/>
    <n v="127.8"/>
  </r>
  <r>
    <x v="2"/>
    <x v="4"/>
    <x v="0"/>
    <n v="132.80000000000001"/>
    <n v="138.19999999999999"/>
    <n v="132.19999999999999"/>
    <n v="135.4"/>
    <n v="119.1"/>
    <n v="133"/>
    <n v="119.4"/>
    <n v="159.5"/>
    <n v="115.6"/>
    <n v="139.6"/>
    <n v="126.6"/>
    <n v="142.80000000000001"/>
    <n v="1600.7"/>
    <n v="133.1"/>
    <n v="143.80000000000001"/>
    <n v="516.29999999999995"/>
    <n v="136.6"/>
    <n v="130.19999999999999"/>
    <n v="402.4"/>
    <n v="135.6"/>
    <n v="129.6"/>
    <n v="259"/>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605.0999999999997"/>
    <n v="133.6"/>
    <n v="143.69999999999999"/>
    <n v="524"/>
    <n v="140.9"/>
    <n v="135.80000000000001"/>
    <n v="416.90000000000003"/>
    <n v="140.19999999999999"/>
    <n v="130.5"/>
    <n v="264.10000000000002"/>
    <n v="133.19999999999999"/>
    <n v="133.6"/>
    <n v="130.1"/>
    <n v="119.5"/>
    <n v="127.7"/>
    <n v="134.9"/>
    <n v="123.2"/>
    <n v="127"/>
    <n v="132.6"/>
  </r>
  <r>
    <x v="1"/>
    <x v="4"/>
    <x v="1"/>
    <n v="132.80000000000001"/>
    <n v="139.80000000000001"/>
    <n v="129.30000000000001"/>
    <n v="133.5"/>
    <n v="114.3"/>
    <n v="131.4"/>
    <n v="120.2"/>
    <n v="143.1"/>
    <n v="119.5"/>
    <n v="144"/>
    <n v="123.4"/>
    <n v="141.9"/>
    <n v="1581.8999999999999"/>
    <n v="132.1"/>
    <n v="146.30000000000001"/>
    <n v="513.6"/>
    <n v="130.5"/>
    <n v="122.5"/>
    <n v="382.3"/>
    <n v="129.30000000000001"/>
    <n v="130.5"/>
    <n v="255.8"/>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595.3999999999999"/>
    <n v="133"/>
    <n v="144.4"/>
    <n v="518.5"/>
    <n v="136.80000000000001"/>
    <n v="130.30000000000001"/>
    <n v="403"/>
    <n v="135.9"/>
    <n v="130.5"/>
    <n v="260.2"/>
    <n v="127.9"/>
    <n v="129.69999999999999"/>
    <n v="127.4"/>
    <n v="117.4"/>
    <n v="124.6"/>
    <n v="133.4"/>
    <n v="122.6"/>
    <n v="124.8"/>
    <n v="130.6"/>
  </r>
  <r>
    <x v="0"/>
    <x v="4"/>
    <x v="2"/>
    <n v="133.6"/>
    <n v="138.80000000000001"/>
    <n v="128.80000000000001"/>
    <n v="137.19999999999999"/>
    <n v="121.6"/>
    <n v="139.69999999999999"/>
    <n v="119.7"/>
    <n v="148"/>
    <n v="116.9"/>
    <n v="135.6"/>
    <n v="129.80000000000001"/>
    <n v="145.4"/>
    <n v="1598.6999999999998"/>
    <n v="133.4"/>
    <n v="144.19999999999999"/>
    <n v="525.6"/>
    <n v="141.6"/>
    <n v="136.19999999999999"/>
    <n v="418.59999999999997"/>
    <n v="140.80000000000001"/>
    <n v="131.1"/>
    <n v="265.2"/>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582.1000000000004"/>
    <n v="132.6"/>
    <n v="147.5"/>
    <n v="515.20000000000005"/>
    <n v="130.80000000000001"/>
    <n v="122.8"/>
    <n v="383.20000000000005"/>
    <n v="129.6"/>
    <n v="131.1"/>
    <n v="256.7"/>
    <n v="120.8"/>
    <n v="125.6"/>
    <n v="123.1"/>
    <n v="115.6"/>
    <n v="122.4"/>
    <n v="132.80000000000001"/>
    <n v="121.7"/>
    <n v="122.6"/>
    <n v="128.69999999999999"/>
  </r>
  <r>
    <x v="2"/>
    <x v="4"/>
    <x v="2"/>
    <n v="133.30000000000001"/>
    <n v="139"/>
    <n v="128.6"/>
    <n v="136.30000000000001"/>
    <n v="118.8"/>
    <n v="138.30000000000001"/>
    <n v="120.5"/>
    <n v="143.9"/>
    <n v="118"/>
    <n v="137.9"/>
    <n v="127.2"/>
    <n v="144"/>
    <n v="1591.6999999999996"/>
    <n v="133.1"/>
    <n v="145.1"/>
    <n v="519.9"/>
    <n v="137.30000000000001"/>
    <n v="130.6"/>
    <n v="404.29999999999995"/>
    <n v="136.4"/>
    <n v="131.1"/>
    <n v="261.2"/>
    <n v="129.1"/>
    <n v="130.1"/>
    <n v="127.8"/>
    <n v="117.6"/>
    <n v="125"/>
    <n v="133.80000000000001"/>
    <n v="122.6"/>
    <n v="125.1"/>
    <n v="130.9"/>
  </r>
  <r>
    <x v="0"/>
    <x v="4"/>
    <x v="3"/>
    <n v="133.19999999999999"/>
    <n v="138.69999999999999"/>
    <n v="127.1"/>
    <n v="137.69999999999999"/>
    <n v="121.3"/>
    <n v="141.80000000000001"/>
    <n v="121.5"/>
    <n v="144.5"/>
    <n v="117.4"/>
    <n v="134.1"/>
    <n v="130"/>
    <n v="145.5"/>
    <n v="1596.3"/>
    <n v="133.5"/>
    <n v="144.4"/>
    <n v="526.4"/>
    <n v="142.4"/>
    <n v="136.80000000000001"/>
    <n v="420.80000000000007"/>
    <n v="141.6"/>
    <n v="131.69999999999999"/>
    <n v="266"/>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584.3"/>
    <n v="133.4"/>
    <n v="148"/>
    <n v="516.6"/>
    <n v="131.19999999999999"/>
    <n v="123"/>
    <n v="384.2"/>
    <n v="130"/>
    <n v="131.69999999999999"/>
    <n v="257.7"/>
    <n v="121.4"/>
    <n v="126"/>
    <n v="123.4"/>
    <n v="114.3"/>
    <n v="122.6"/>
    <n v="133.6"/>
    <n v="122.2"/>
    <n v="122.5"/>
    <n v="129.1"/>
  </r>
  <r>
    <x v="2"/>
    <x v="4"/>
    <x v="3"/>
    <n v="133"/>
    <n v="139.4"/>
    <n v="126.1"/>
    <n v="137.19999999999999"/>
    <n v="118.4"/>
    <n v="139.9"/>
    <n v="123.4"/>
    <n v="140.9"/>
    <n v="118.5"/>
    <n v="136.5"/>
    <n v="127.4"/>
    <n v="144.19999999999999"/>
    <n v="1591"/>
    <n v="133.5"/>
    <n v="145.4"/>
    <n v="521"/>
    <n v="138"/>
    <n v="131.1"/>
    <n v="406.1"/>
    <n v="137"/>
    <n v="131.69999999999999"/>
    <n v="262.10000000000002"/>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597.1999999999998"/>
    <n v="133.80000000000001"/>
    <n v="145.5"/>
    <n v="528.90000000000009"/>
    <n v="142.5"/>
    <n v="137.30000000000001"/>
    <n v="421.6"/>
    <n v="141.80000000000001"/>
    <n v="132.1"/>
    <n v="267"/>
    <n v="135"/>
    <n v="134.9"/>
    <n v="131.4"/>
    <n v="119.4"/>
    <n v="129.4"/>
    <n v="136.30000000000001"/>
    <n v="123.7"/>
    <n v="127.9"/>
    <n v="133.30000000000001"/>
  </r>
  <r>
    <x v="1"/>
    <x v="4"/>
    <x v="4"/>
    <n v="132.6"/>
    <n v="144.1"/>
    <n v="125.6"/>
    <n v="136.80000000000001"/>
    <n v="113.4"/>
    <n v="135.19999999999999"/>
    <n v="129.19999999999999"/>
    <n v="131.5"/>
    <n v="121"/>
    <n v="139.9"/>
    <n v="123.8"/>
    <n v="142.9"/>
    <n v="1585.7999999999997"/>
    <n v="133.6"/>
    <n v="148.30000000000001"/>
    <n v="516.90000000000009"/>
    <n v="131.5"/>
    <n v="123.2"/>
    <n v="384.9"/>
    <n v="130.19999999999999"/>
    <n v="132.1"/>
    <n v="258.60000000000002"/>
    <n v="120.1"/>
    <n v="126.5"/>
    <n v="123.6"/>
    <n v="114.3"/>
    <n v="122.8"/>
    <n v="133.80000000000001"/>
    <n v="122"/>
    <n v="122.6"/>
    <n v="129.30000000000001"/>
  </r>
  <r>
    <x v="2"/>
    <x v="4"/>
    <x v="4"/>
    <n v="132.9"/>
    <n v="141.6"/>
    <n v="126.3"/>
    <n v="137.69999999999999"/>
    <n v="118.1"/>
    <n v="137.9"/>
    <n v="125.6"/>
    <n v="138.30000000000001"/>
    <n v="119.4"/>
    <n v="136"/>
    <n v="127.6"/>
    <n v="144.5"/>
    <n v="1592"/>
    <n v="133.69999999999999"/>
    <n v="146.19999999999999"/>
    <n v="522.5"/>
    <n v="138.19999999999999"/>
    <n v="131.4"/>
    <n v="406.8"/>
    <n v="137.19999999999999"/>
    <n v="132.1"/>
    <n v="263"/>
    <n v="129.4"/>
    <n v="130.9"/>
    <n v="128.4"/>
    <n v="116.7"/>
    <n v="125.7"/>
    <n v="134.80000000000001"/>
    <n v="123"/>
    <n v="125.3"/>
    <n v="131.4"/>
  </r>
  <r>
    <x v="0"/>
    <x v="4"/>
    <x v="5"/>
    <n v="133.5"/>
    <n v="143.69999999999999"/>
    <n v="128"/>
    <n v="138.6"/>
    <n v="120.9"/>
    <n v="140.9"/>
    <n v="128.80000000000001"/>
    <n v="140.19999999999999"/>
    <n v="118.9"/>
    <n v="133.5"/>
    <n v="130.4"/>
    <n v="146.5"/>
    <n v="1608.3999999999999"/>
    <n v="134.9"/>
    <n v="145.80000000000001"/>
    <n v="530.1"/>
    <n v="143.1"/>
    <n v="137.69999999999999"/>
    <n v="423.09999999999997"/>
    <n v="142.30000000000001"/>
    <n v="131.4"/>
    <n v="266.60000000000002"/>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606.8000000000002"/>
    <n v="135.69999999999999"/>
    <n v="148.6"/>
    <n v="518.20000000000005"/>
    <n v="131.5"/>
    <n v="123.2"/>
    <n v="384.9"/>
    <n v="130.19999999999999"/>
    <n v="131.4"/>
    <n v="258.2"/>
    <n v="119"/>
    <n v="126.8"/>
    <n v="123.8"/>
    <n v="113.9"/>
    <n v="122.9"/>
    <n v="134.30000000000001"/>
    <n v="122.5"/>
    <n v="122.7"/>
    <n v="129.9"/>
  </r>
  <r>
    <x v="2"/>
    <x v="4"/>
    <x v="5"/>
    <n v="133.30000000000001"/>
    <n v="145.5"/>
    <n v="128.1"/>
    <n v="138.1"/>
    <n v="118.2"/>
    <n v="139.19999999999999"/>
    <n v="133.30000000000001"/>
    <n v="136.19999999999999"/>
    <n v="119.6"/>
    <n v="135.30000000000001"/>
    <n v="127.8"/>
    <n v="144.9"/>
    <n v="1606.8999999999999"/>
    <n v="135.19999999999999"/>
    <n v="146.5"/>
    <n v="523.6"/>
    <n v="138.5"/>
    <n v="131.69999999999999"/>
    <n v="407.7"/>
    <n v="137.5"/>
    <n v="131.4"/>
    <n v="262.60000000000002"/>
    <n v="128.80000000000001"/>
    <n v="131.19999999999999"/>
    <n v="128.5"/>
    <n v="116.5"/>
    <n v="125.9"/>
    <n v="135.4"/>
    <n v="123.4"/>
    <n v="125.5"/>
    <n v="132"/>
  </r>
  <r>
    <x v="0"/>
    <x v="4"/>
    <x v="6"/>
    <n v="134"/>
    <n v="144.19999999999999"/>
    <n v="129.80000000000001"/>
    <n v="139"/>
    <n v="120.9"/>
    <n v="143.9"/>
    <n v="151.5"/>
    <n v="138.1"/>
    <n v="120"/>
    <n v="133.9"/>
    <n v="131.4"/>
    <n v="147.69999999999999"/>
    <n v="1641.5"/>
    <n v="138.5"/>
    <n v="147.4"/>
    <n v="533.79999999999995"/>
    <n v="144.30000000000001"/>
    <n v="138.1"/>
    <n v="425.9"/>
    <n v="143.5"/>
    <n v="132.6"/>
    <n v="268.7"/>
    <n v="135.30000000000001"/>
    <n v="136.1"/>
    <n v="132.1"/>
    <n v="119.1"/>
    <n v="130.6"/>
    <n v="138.6"/>
    <n v="124.4"/>
    <n v="128.6"/>
    <n v="136.19999999999999"/>
  </r>
  <r>
    <x v="1"/>
    <x v="4"/>
    <x v="6"/>
    <n v="132.80000000000001"/>
    <n v="148.4"/>
    <n v="129.4"/>
    <n v="137.69999999999999"/>
    <n v="113.4"/>
    <n v="139.4"/>
    <n v="175.1"/>
    <n v="124.7"/>
    <n v="121.5"/>
    <n v="137.80000000000001"/>
    <n v="124.4"/>
    <n v="143.69999999999999"/>
    <n v="1643.7"/>
    <n v="139.80000000000001"/>
    <n v="150.5"/>
    <n v="520.79999999999995"/>
    <n v="131.6"/>
    <n v="123.7"/>
    <n v="385.70000000000005"/>
    <n v="130.4"/>
    <n v="132.6"/>
    <n v="259.8"/>
    <n v="119.7"/>
    <n v="127.2"/>
    <n v="125"/>
    <n v="113.2"/>
    <n v="123.5"/>
    <n v="135.5"/>
    <n v="122.4"/>
    <n v="123"/>
    <n v="131.80000000000001"/>
  </r>
  <r>
    <x v="2"/>
    <x v="4"/>
    <x v="6"/>
    <n v="133.6"/>
    <n v="145.69999999999999"/>
    <n v="129.6"/>
    <n v="138.5"/>
    <n v="118.1"/>
    <n v="141.80000000000001"/>
    <n v="159.5"/>
    <n v="133.6"/>
    <n v="120.5"/>
    <n v="135.19999999999999"/>
    <n v="128.5"/>
    <n v="145.80000000000001"/>
    <n v="1640.8999999999999"/>
    <n v="139"/>
    <n v="148.19999999999999"/>
    <n v="526.9"/>
    <n v="139.30000000000001"/>
    <n v="132.1"/>
    <n v="409.7"/>
    <n v="138.30000000000001"/>
    <n v="132.6"/>
    <n v="264.5"/>
    <n v="129.4"/>
    <n v="131.9"/>
    <n v="129.4"/>
    <n v="116"/>
    <n v="126.6"/>
    <n v="136.80000000000001"/>
    <n v="123.6"/>
    <n v="125.9"/>
    <n v="134.19999999999999"/>
  </r>
  <r>
    <x v="0"/>
    <x v="4"/>
    <x v="7"/>
    <n v="134.80000000000001"/>
    <n v="143.1"/>
    <n v="130"/>
    <n v="139.4"/>
    <n v="120.5"/>
    <n v="148"/>
    <n v="162.9"/>
    <n v="137.4"/>
    <n v="120.8"/>
    <n v="134.69999999999999"/>
    <n v="131.6"/>
    <n v="148.69999999999999"/>
    <n v="1660.8999999999999"/>
    <n v="140.6"/>
    <n v="149"/>
    <n v="537.5"/>
    <n v="145.30000000000001"/>
    <n v="139.19999999999999"/>
    <n v="429"/>
    <n v="144.5"/>
    <n v="134.4"/>
    <n v="271.70000000000005"/>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648.4000000000003"/>
    <n v="140.5"/>
    <n v="152.1"/>
    <n v="524.09999999999991"/>
    <n v="132.69999999999999"/>
    <n v="124.3"/>
    <n v="388.4"/>
    <n v="131.4"/>
    <n v="134.4"/>
    <n v="262.10000000000002"/>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655.1"/>
    <n v="140.6"/>
    <n v="149.80000000000001"/>
    <n v="530.29999999999995"/>
    <n v="140.30000000000001"/>
    <n v="133"/>
    <n v="412.6"/>
    <n v="139.30000000000001"/>
    <n v="134.4"/>
    <n v="267.20000000000005"/>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652.6000000000001"/>
    <n v="139.6"/>
    <n v="149.80000000000001"/>
    <n v="540.5"/>
    <n v="146.1"/>
    <n v="139.69999999999999"/>
    <n v="430.99999999999994"/>
    <n v="145.19999999999999"/>
    <n v="135.69999999999999"/>
    <n v="273.60000000000002"/>
    <n v="137.4"/>
    <n v="137.9"/>
    <n v="133.4"/>
    <n v="121.2"/>
    <n v="132.30000000000001"/>
    <n v="139.6"/>
    <n v="126.7"/>
    <n v="130.30000000000001"/>
    <n v="137.6"/>
  </r>
  <r>
    <x v="1"/>
    <x v="4"/>
    <x v="8"/>
    <n v="133.6"/>
    <n v="143"/>
    <n v="129.69999999999999"/>
    <n v="138.69999999999999"/>
    <n v="114.5"/>
    <n v="137.5"/>
    <n v="160.69999999999999"/>
    <n v="124.5"/>
    <n v="122.4"/>
    <n v="137.30000000000001"/>
    <n v="124.8"/>
    <n v="145"/>
    <n v="1624.9"/>
    <n v="138"/>
    <n v="153.6"/>
    <n v="527.29999999999995"/>
    <n v="133.30000000000001"/>
    <n v="124.6"/>
    <n v="389.9"/>
    <n v="132"/>
    <n v="135.69999999999999"/>
    <n v="263.79999999999995"/>
    <n v="120.6"/>
    <n v="128.1"/>
    <n v="126.1"/>
    <n v="115.7"/>
    <n v="124.5"/>
    <n v="135.9"/>
    <n v="124.4"/>
    <n v="124.5"/>
    <n v="132.4"/>
  </r>
  <r>
    <x v="2"/>
    <x v="4"/>
    <x v="8"/>
    <n v="134.69999999999999"/>
    <n v="142.4"/>
    <n v="130.19999999999999"/>
    <n v="139.6"/>
    <n v="118.4"/>
    <n v="143"/>
    <n v="156.6"/>
    <n v="132.9"/>
    <n v="121.5"/>
    <n v="135.6"/>
    <n v="128.80000000000001"/>
    <n v="147.30000000000001"/>
    <n v="1641.2"/>
    <n v="139"/>
    <n v="150.80000000000001"/>
    <n v="533.20000000000005"/>
    <n v="141.1"/>
    <n v="133.4"/>
    <n v="414.5"/>
    <n v="140"/>
    <n v="135.69999999999999"/>
    <n v="269"/>
    <n v="131"/>
    <n v="133.30000000000001"/>
    <n v="130.6"/>
    <n v="118.3"/>
    <n v="127.9"/>
    <n v="137.4"/>
    <n v="125.7"/>
    <n v="127.5"/>
    <n v="135.19999999999999"/>
  </r>
  <r>
    <x v="0"/>
    <x v="4"/>
    <x v="9"/>
    <n v="135.9"/>
    <n v="141.9"/>
    <n v="131"/>
    <n v="141.5"/>
    <n v="121.4"/>
    <n v="146.69999999999999"/>
    <n v="157.1"/>
    <n v="136.4"/>
    <n v="121.4"/>
    <n v="135.6"/>
    <n v="131.30000000000001"/>
    <n v="150.30000000000001"/>
    <n v="1659.6000000000004"/>
    <n v="140.4"/>
    <n v="150.5"/>
    <n v="542.20000000000005"/>
    <n v="147.19999999999999"/>
    <n v="140.6"/>
    <n v="433.99999999999994"/>
    <n v="146.19999999999999"/>
    <n v="137.30000000000001"/>
    <n v="275.70000000000005"/>
    <n v="138.1"/>
    <n v="138.4"/>
    <n v="134.19999999999999"/>
    <n v="121"/>
    <n v="133"/>
    <n v="140.1"/>
    <n v="127.4"/>
    <n v="130.69999999999999"/>
    <n v="138.30000000000001"/>
  </r>
  <r>
    <x v="1"/>
    <x v="4"/>
    <x v="9"/>
    <n v="133.9"/>
    <n v="142.80000000000001"/>
    <n v="131.4"/>
    <n v="139.1"/>
    <n v="114.9"/>
    <n v="135.6"/>
    <n v="173.2"/>
    <n v="124.1"/>
    <n v="122.6"/>
    <n v="137.80000000000001"/>
    <n v="125.1"/>
    <n v="145.5"/>
    <n v="1640.6000000000001"/>
    <n v="139.69999999999999"/>
    <n v="154.6"/>
    <n v="529.1"/>
    <n v="134"/>
    <n v="124.9"/>
    <n v="391.5"/>
    <n v="132.6"/>
    <n v="137.30000000000001"/>
    <n v="265.60000000000002"/>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651"/>
    <n v="140.1"/>
    <n v="151.6"/>
    <n v="534.9"/>
    <n v="142"/>
    <n v="134.1"/>
    <n v="416.90000000000003"/>
    <n v="140.80000000000001"/>
    <n v="137.30000000000001"/>
    <n v="270.89999999999998"/>
    <n v="132.19999999999999"/>
    <n v="133.6"/>
    <n v="131.30000000000001"/>
    <n v="117.8"/>
    <n v="128.4"/>
    <n v="137.9"/>
    <n v="126.2"/>
    <n v="127.7"/>
    <n v="136.1"/>
  </r>
  <r>
    <x v="0"/>
    <x v="4"/>
    <x v="10"/>
    <n v="136.30000000000001"/>
    <n v="142.5"/>
    <n v="140.5"/>
    <n v="141.5"/>
    <n v="121.6"/>
    <n v="147.30000000000001"/>
    <n v="168"/>
    <n v="135.80000000000001"/>
    <n v="122.5"/>
    <n v="136"/>
    <n v="131.9"/>
    <n v="151.4"/>
    <n v="1685.8"/>
    <n v="142.4"/>
    <n v="152.1"/>
    <n v="545.79999999999995"/>
    <n v="148.19999999999999"/>
    <n v="141.5"/>
    <n v="437"/>
    <n v="147.30000000000001"/>
    <n v="128.6"/>
    <n v="268"/>
    <n v="141.1"/>
    <n v="139.4"/>
    <n v="135.80000000000001"/>
    <n v="121.6"/>
    <n v="133.69999999999999"/>
    <n v="141.5"/>
    <n v="128.1"/>
    <n v="131.69999999999999"/>
    <n v="140"/>
  </r>
  <r>
    <x v="1"/>
    <x v="4"/>
    <x v="10"/>
    <n v="134.30000000000001"/>
    <n v="142.1"/>
    <n v="146.69999999999999"/>
    <n v="139.5"/>
    <n v="115.2"/>
    <n v="136.4"/>
    <n v="185.2"/>
    <n v="122.2"/>
    <n v="123.9"/>
    <n v="138.30000000000001"/>
    <n v="125.4"/>
    <n v="146"/>
    <n v="1671.3000000000002"/>
    <n v="141.5"/>
    <n v="156.19999999999999"/>
    <n v="531.6"/>
    <n v="135"/>
    <n v="125.4"/>
    <n v="393.9"/>
    <n v="133.5"/>
    <n v="138.6"/>
    <n v="267.39999999999998"/>
    <n v="125.7"/>
    <n v="128.80000000000001"/>
    <n v="127.4"/>
    <n v="115.3"/>
    <n v="125.1"/>
    <n v="136.6"/>
    <n v="124.9"/>
    <n v="124.9"/>
    <n v="134.80000000000001"/>
  </r>
  <r>
    <x v="2"/>
    <x v="4"/>
    <x v="10"/>
    <n v="135.69999999999999"/>
    <n v="142.4"/>
    <n v="142.9"/>
    <n v="140.80000000000001"/>
    <n v="119.2"/>
    <n v="142.19999999999999"/>
    <n v="173.8"/>
    <n v="131.19999999999999"/>
    <n v="123"/>
    <n v="136.80000000000001"/>
    <n v="129.19999999999999"/>
    <n v="148.9"/>
    <n v="1679.0000000000002"/>
    <n v="142.1"/>
    <n v="153.19999999999999"/>
    <n v="538.09999999999991"/>
    <n v="143"/>
    <n v="134.80000000000001"/>
    <n v="419.6"/>
    <n v="141.80000000000001"/>
    <n v="138.6"/>
    <n v="273"/>
    <n v="135.30000000000001"/>
    <n v="134.4"/>
    <n v="132.6"/>
    <n v="118.3"/>
    <n v="128.9"/>
    <n v="138.6"/>
    <n v="126.8"/>
    <n v="128.4"/>
    <n v="137.6"/>
  </r>
  <r>
    <x v="0"/>
    <x v="4"/>
    <x v="11"/>
    <n v="136.4"/>
    <n v="143.69999999999999"/>
    <n v="144.80000000000001"/>
    <n v="141.9"/>
    <n v="123.1"/>
    <n v="147.19999999999999"/>
    <n v="161"/>
    <n v="133.80000000000001"/>
    <n v="121.9"/>
    <n v="135.80000000000001"/>
    <n v="131.1"/>
    <n v="151.4"/>
    <n v="1682.5000000000002"/>
    <n v="141.5"/>
    <n v="153.19999999999999"/>
    <n v="545.49999999999989"/>
    <n v="148"/>
    <n v="141.9"/>
    <n v="437.09999999999997"/>
    <n v="147.19999999999999"/>
    <n v="139.1"/>
    <n v="278.60000000000002"/>
    <n v="142.6"/>
    <n v="139.5"/>
    <n v="136.1"/>
    <n v="122"/>
    <n v="133.4"/>
    <n v="141.1"/>
    <n v="127.8"/>
    <n v="131.9"/>
    <n v="139.80000000000001"/>
  </r>
  <r>
    <x v="1"/>
    <x v="4"/>
    <x v="11"/>
    <n v="134.4"/>
    <n v="142.6"/>
    <n v="145.9"/>
    <n v="139.5"/>
    <n v="115.9"/>
    <n v="135"/>
    <n v="163.19999999999999"/>
    <n v="119.8"/>
    <n v="120.7"/>
    <n v="139.69999999999999"/>
    <n v="125.7"/>
    <n v="146.30000000000001"/>
    <n v="1641.8"/>
    <n v="138.80000000000001"/>
    <n v="157"/>
    <n v="532.9"/>
    <n v="135.6"/>
    <n v="125.6"/>
    <n v="395.2"/>
    <n v="134"/>
    <n v="139.1"/>
    <n v="268.39999999999998"/>
    <n v="126.8"/>
    <n v="129.30000000000001"/>
    <n v="128.19999999999999"/>
    <n v="115.3"/>
    <n v="125.6"/>
    <n v="136.69999999999999"/>
    <n v="124.6"/>
    <n v="125.1"/>
    <n v="134.1"/>
  </r>
  <r>
    <x v="2"/>
    <x v="4"/>
    <x v="11"/>
    <n v="135.80000000000001"/>
    <n v="143.30000000000001"/>
    <n v="145.19999999999999"/>
    <n v="141"/>
    <n v="120.5"/>
    <n v="141.5"/>
    <n v="161.69999999999999"/>
    <n v="129.1"/>
    <n v="121.5"/>
    <n v="137.1"/>
    <n v="128.80000000000001"/>
    <n v="149"/>
    <n v="1666.2"/>
    <n v="140.5"/>
    <n v="154.19999999999999"/>
    <n v="538.5"/>
    <n v="143.1"/>
    <n v="135.1"/>
    <n v="420.2"/>
    <n v="142"/>
    <n v="139.1"/>
    <n v="273.79999999999995"/>
    <n v="136.6"/>
    <n v="134.69999999999999"/>
    <n v="133.1"/>
    <n v="118.5"/>
    <n v="129"/>
    <n v="138.5"/>
    <n v="126.5"/>
    <n v="128.6"/>
    <n v="137.19999999999999"/>
  </r>
  <r>
    <x v="0"/>
    <x v="5"/>
    <x v="0"/>
    <n v="136.6"/>
    <n v="144.4"/>
    <n v="143.80000000000001"/>
    <n v="142"/>
    <n v="123.2"/>
    <n v="147.9"/>
    <n v="152.1"/>
    <n v="131.80000000000001"/>
    <n v="119.5"/>
    <n v="136"/>
    <n v="131.19999999999999"/>
    <n v="151.80000000000001"/>
    <n v="1669.5000000000002"/>
    <n v="140.4"/>
    <n v="153.6"/>
    <n v="547.69999999999993"/>
    <n v="148.30000000000001"/>
    <n v="142.30000000000001"/>
    <n v="438.1"/>
    <n v="147.5"/>
    <n v="140.4"/>
    <n v="280.20000000000005"/>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622.3999999999999"/>
    <n v="137.19999999999999"/>
    <n v="157.69999999999999"/>
    <n v="535.29999999999995"/>
    <n v="136"/>
    <n v="125.9"/>
    <n v="396.29999999999995"/>
    <n v="134.4"/>
    <n v="140.4"/>
    <n v="269.89999999999998"/>
    <n v="127.3"/>
    <n v="129.5"/>
    <n v="129"/>
    <n v="116.3"/>
    <n v="126.2"/>
    <n v="137.1"/>
    <n v="125.5"/>
    <n v="125.8"/>
    <n v="134.1"/>
  </r>
  <r>
    <x v="2"/>
    <x v="5"/>
    <x v="0"/>
    <n v="136"/>
    <n v="144.19999999999999"/>
    <n v="143.69999999999999"/>
    <n v="141.1"/>
    <n v="120.7"/>
    <n v="141.30000000000001"/>
    <n v="151.6"/>
    <n v="127.3"/>
    <n v="118.8"/>
    <n v="137.5"/>
    <n v="129"/>
    <n v="149.5"/>
    <n v="1650.9"/>
    <n v="139.19999999999999"/>
    <n v="154.69999999999999"/>
    <n v="540.69999999999993"/>
    <n v="143.5"/>
    <n v="135.5"/>
    <n v="421.3"/>
    <n v="142.30000000000001"/>
    <n v="140.4"/>
    <n v="275.3"/>
    <n v="136.6"/>
    <n v="134.9"/>
    <n v="133.30000000000001"/>
    <n v="119.3"/>
    <n v="129.69999999999999"/>
    <n v="139"/>
    <n v="127.3"/>
    <n v="129.1"/>
    <n v="136.9"/>
  </r>
  <r>
    <x v="0"/>
    <x v="5"/>
    <x v="1"/>
    <n v="136.4"/>
    <n v="143.69999999999999"/>
    <n v="140.6"/>
    <n v="141.5"/>
    <n v="122.9"/>
    <n v="149.4"/>
    <n v="142.4"/>
    <n v="130.19999999999999"/>
    <n v="117.9"/>
    <n v="135.6"/>
    <n v="130.5"/>
    <n v="151.69999999999999"/>
    <n v="1651"/>
    <n v="138.69999999999999"/>
    <n v="153.30000000000001"/>
    <n v="546.90000000000009"/>
    <n v="148.69999999999999"/>
    <n v="142.4"/>
    <n v="438.90000000000003"/>
    <n v="147.80000000000001"/>
    <n v="141.30000000000001"/>
    <n v="281.20000000000005"/>
    <n v="142.4"/>
    <n v="139.9"/>
    <n v="136.19999999999999"/>
    <n v="123.3"/>
    <n v="134.30000000000001"/>
    <n v="141.5"/>
    <n v="128.80000000000001"/>
    <n v="132.5"/>
    <n v="138.5"/>
  </r>
  <r>
    <x v="1"/>
    <x v="5"/>
    <x v="1"/>
    <n v="134.80000000000001"/>
    <n v="143"/>
    <n v="139.9"/>
    <n v="139.9"/>
    <n v="116.2"/>
    <n v="135.5"/>
    <n v="136.9"/>
    <n v="117"/>
    <n v="115.4"/>
    <n v="140.69999999999999"/>
    <n v="125.9"/>
    <n v="147.1"/>
    <n v="1602"/>
    <n v="135.6"/>
    <n v="159.30000000000001"/>
    <n v="537.90000000000009"/>
    <n v="136.30000000000001"/>
    <n v="126.1"/>
    <n v="397.09999999999997"/>
    <n v="134.69999999999999"/>
    <n v="141.30000000000001"/>
    <n v="271.20000000000005"/>
    <n v="127.3"/>
    <n v="129.9"/>
    <n v="129.80000000000001"/>
    <n v="117.4"/>
    <n v="126.5"/>
    <n v="137.19999999999999"/>
    <n v="126.2"/>
    <n v="126.5"/>
    <n v="134"/>
  </r>
  <r>
    <x v="2"/>
    <x v="5"/>
    <x v="1"/>
    <n v="135.9"/>
    <n v="143.5"/>
    <n v="140.30000000000001"/>
    <n v="140.9"/>
    <n v="120.4"/>
    <n v="142.9"/>
    <n v="140.5"/>
    <n v="125.8"/>
    <n v="117.1"/>
    <n v="137.30000000000001"/>
    <n v="128.6"/>
    <n v="149.6"/>
    <n v="1631.8"/>
    <n v="137.6"/>
    <n v="154.9"/>
    <n v="541.1"/>
    <n v="143.80000000000001"/>
    <n v="135.6"/>
    <n v="422"/>
    <n v="142.6"/>
    <n v="141.30000000000001"/>
    <n v="276.5"/>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650.7999999999997"/>
    <n v="138.6"/>
    <n v="155.1"/>
    <n v="550.70000000000005"/>
    <n v="149.19999999999999"/>
    <n v="143"/>
    <n v="440.5"/>
    <n v="148.30000000000001"/>
    <n v="142"/>
    <n v="281.89999999999998"/>
    <n v="142.6"/>
    <n v="139.9"/>
    <n v="136.69999999999999"/>
    <n v="124.6"/>
    <n v="135.1"/>
    <n v="142.69999999999999"/>
    <n v="129.30000000000001"/>
    <n v="133.30000000000001"/>
    <n v="138.69999999999999"/>
  </r>
  <r>
    <x v="1"/>
    <x v="5"/>
    <x v="2"/>
    <n v="135"/>
    <n v="143.1"/>
    <n v="135.5"/>
    <n v="139.9"/>
    <n v="116.5"/>
    <n v="138.5"/>
    <n v="128"/>
    <n v="115.5"/>
    <n v="114.2"/>
    <n v="140.69999999999999"/>
    <n v="126.2"/>
    <n v="147.6"/>
    <n v="1589.3"/>
    <n v="134.80000000000001"/>
    <n v="159.69999999999999"/>
    <n v="539.4"/>
    <n v="136.69999999999999"/>
    <n v="126.7"/>
    <n v="398.59999999999997"/>
    <n v="135.19999999999999"/>
    <n v="142"/>
    <n v="272.8"/>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626.9"/>
    <n v="137.19999999999999"/>
    <n v="156.30000000000001"/>
    <n v="544"/>
    <n v="144.30000000000001"/>
    <n v="136.19999999999999"/>
    <n v="423.6"/>
    <n v="143.1"/>
    <n v="142"/>
    <n v="277.60000000000002"/>
    <n v="136.5"/>
    <n v="135.6"/>
    <n v="134.30000000000001"/>
    <n v="121"/>
    <n v="130.4"/>
    <n v="139.80000000000001"/>
    <n v="128.19999999999999"/>
    <n v="130.30000000000001"/>
    <n v="136.5"/>
  </r>
  <r>
    <x v="0"/>
    <x v="5"/>
    <x v="3"/>
    <n v="137.1"/>
    <n v="144.5"/>
    <n v="135.9"/>
    <n v="142.4"/>
    <n v="123.5"/>
    <n v="156.4"/>
    <n v="135.1"/>
    <n v="128.4"/>
    <n v="115.2"/>
    <n v="137.19999999999999"/>
    <n v="131.9"/>
    <n v="153.80000000000001"/>
    <n v="1648.1"/>
    <n v="138.6"/>
    <n v="156.1"/>
    <n v="554.4"/>
    <n v="150.1"/>
    <n v="143.30000000000001"/>
    <n v="442.5"/>
    <n v="149.1"/>
    <n v="142.9"/>
    <n v="283.8"/>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593.5"/>
    <n v="135.69999999999999"/>
    <n v="159.19999999999999"/>
    <n v="540.9"/>
    <n v="137.80000000000001"/>
    <n v="127.4"/>
    <n v="401.40000000000003"/>
    <n v="136.19999999999999"/>
    <n v="142.9"/>
    <n v="274.70000000000005"/>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627.5000000000002"/>
    <n v="137.5"/>
    <n v="156.9"/>
    <n v="547"/>
    <n v="145.30000000000001"/>
    <n v="136.69999999999999"/>
    <n v="426"/>
    <n v="144"/>
    <n v="142.9"/>
    <n v="279.5"/>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650.2"/>
    <n v="139.1"/>
    <n v="157"/>
    <n v="557.20000000000005"/>
    <n v="150.80000000000001"/>
    <n v="144.1"/>
    <n v="444.7"/>
    <n v="149.80000000000001"/>
    <n v="143.19999999999999"/>
    <n v="285"/>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596.3"/>
    <n v="136.4"/>
    <n v="160.30000000000001"/>
    <n v="543"/>
    <n v="138.6"/>
    <n v="127.9"/>
    <n v="403.5"/>
    <n v="137"/>
    <n v="143.19999999999999"/>
    <n v="275.7"/>
    <n v="124.7"/>
    <n v="132.5"/>
    <n v="132"/>
    <n v="119.8"/>
    <n v="128"/>
    <n v="140.4"/>
    <n v="128.1"/>
    <n v="128.9"/>
    <n v="135.4"/>
  </r>
  <r>
    <x v="2"/>
    <x v="5"/>
    <x v="4"/>
    <n v="136.6"/>
    <n v="146.6"/>
    <n v="133.6"/>
    <n v="142.1"/>
    <n v="121"/>
    <n v="154.6"/>
    <n v="135.6"/>
    <n v="122.3"/>
    <n v="109.6"/>
    <n v="138.1"/>
    <n v="129.9"/>
    <n v="151.69999999999999"/>
    <n v="1629.8999999999996"/>
    <n v="138.1"/>
    <n v="157.9"/>
    <n v="549.5"/>
    <n v="146"/>
    <n v="137.4"/>
    <n v="428.09999999999997"/>
    <n v="144.69999999999999"/>
    <n v="143.19999999999999"/>
    <n v="280.60000000000002"/>
    <n v="136.9"/>
    <n v="137.4"/>
    <n v="136"/>
    <n v="122.9"/>
    <n v="131.80000000000001"/>
    <n v="142.1"/>
    <n v="129.9"/>
    <n v="132.1"/>
    <n v="137.80000000000001"/>
  </r>
  <r>
    <x v="0"/>
    <x v="5"/>
    <x v="5"/>
    <n v="137.6"/>
    <n v="148.1"/>
    <n v="136.69999999999999"/>
    <n v="143.19999999999999"/>
    <n v="124"/>
    <n v="154.1"/>
    <n v="143.5"/>
    <n v="126"/>
    <n v="112.4"/>
    <n v="137.6"/>
    <n v="132.80000000000001"/>
    <n v="154.30000000000001"/>
    <n v="1657.4999999999998"/>
    <n v="140"/>
    <n v="157.30000000000001"/>
    <n v="559.30000000000007"/>
    <n v="151.30000000000001"/>
    <n v="144.69999999999999"/>
    <n v="446.3"/>
    <n v="150.30000000000001"/>
    <n v="142.5"/>
    <n v="284.7"/>
    <n v="145.1"/>
    <n v="142.19999999999999"/>
    <n v="138.4"/>
    <n v="127.4"/>
    <n v="137.80000000000001"/>
    <n v="145.1"/>
    <n v="131.4"/>
    <n v="135.6"/>
    <n v="140.5"/>
  </r>
  <r>
    <x v="1"/>
    <x v="5"/>
    <x v="5"/>
    <n v="135.30000000000001"/>
    <n v="149.69999999999999"/>
    <n v="133.9"/>
    <n v="140.80000000000001"/>
    <n v="116.6"/>
    <n v="152.19999999999999"/>
    <n v="144"/>
    <n v="112.3"/>
    <n v="108.4"/>
    <n v="140"/>
    <n v="126.7"/>
    <n v="149"/>
    <n v="1620.6000000000004"/>
    <n v="138.4"/>
    <n v="161"/>
    <n v="544.4"/>
    <n v="138.9"/>
    <n v="128.69999999999999"/>
    <n v="405"/>
    <n v="137.4"/>
    <n v="142.5"/>
    <n v="275.60000000000002"/>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643.8000000000002"/>
    <n v="139.4"/>
    <n v="158.30000000000001"/>
    <n v="551.30000000000007"/>
    <n v="146.4"/>
    <n v="138.1"/>
    <n v="429.7"/>
    <n v="145.19999999999999"/>
    <n v="142.5"/>
    <n v="280.39999999999998"/>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677.7"/>
    <n v="142"/>
    <n v="156.1"/>
    <n v="558.69999999999993"/>
    <n v="151.5"/>
    <n v="145.1"/>
    <n v="447.20000000000005"/>
    <n v="150.6"/>
    <n v="143.6"/>
    <n v="286.7"/>
    <n v="146.80000000000001"/>
    <n v="143.1"/>
    <n v="139"/>
    <n v="127.5"/>
    <n v="138.4"/>
    <n v="145.80000000000001"/>
    <n v="131.4"/>
    <n v="136"/>
    <n v="141.80000000000001"/>
  </r>
  <r>
    <x v="1"/>
    <x v="5"/>
    <x v="6"/>
    <n v="135.6"/>
    <n v="148.6"/>
    <n v="139.1"/>
    <n v="141"/>
    <n v="116.7"/>
    <n v="149.69999999999999"/>
    <n v="159.19999999999999"/>
    <n v="112.6"/>
    <n v="111.8"/>
    <n v="140.30000000000001"/>
    <n v="126.8"/>
    <n v="149.4"/>
    <n v="1644.2999999999997"/>
    <n v="140.30000000000001"/>
    <n v="161.4"/>
    <n v="545.4"/>
    <n v="139.6"/>
    <n v="128.9"/>
    <n v="406.4"/>
    <n v="137.9"/>
    <n v="143.6"/>
    <n v="277.2"/>
    <n v="128.1"/>
    <n v="133.6"/>
    <n v="133.6"/>
    <n v="120.1"/>
    <n v="129"/>
    <n v="144"/>
    <n v="128.19999999999999"/>
    <n v="130.19999999999999"/>
    <n v="137.5"/>
  </r>
  <r>
    <x v="2"/>
    <x v="5"/>
    <x v="6"/>
    <n v="137.5"/>
    <n v="149.1"/>
    <n v="139.19999999999999"/>
    <n v="142.5"/>
    <n v="121.4"/>
    <n v="151.6"/>
    <n v="155.9"/>
    <n v="121.7"/>
    <n v="113.5"/>
    <n v="138.9"/>
    <n v="130.30000000000001"/>
    <n v="152.30000000000001"/>
    <n v="1665.0000000000002"/>
    <n v="141.4"/>
    <n v="157.5"/>
    <n v="551"/>
    <n v="146.80000000000001"/>
    <n v="138.4"/>
    <n v="430.80000000000007"/>
    <n v="145.6"/>
    <n v="143.6"/>
    <n v="282.2"/>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684.9999999999998"/>
    <n v="142.69999999999999"/>
    <n v="156.4"/>
    <n v="560.10000000000014"/>
    <n v="152.1"/>
    <n v="145.80000000000001"/>
    <n v="449.2"/>
    <n v="151.30000000000001"/>
    <n v="144.6"/>
    <n v="288.39999999999998"/>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640.1999999999998"/>
    <n v="140.1"/>
    <n v="162.1"/>
    <n v="547.6"/>
    <n v="140"/>
    <n v="129"/>
    <n v="407.3"/>
    <n v="138.30000000000001"/>
    <n v="144.6"/>
    <n v="279"/>
    <n v="129.80000000000001"/>
    <n v="134.4"/>
    <n v="134.9"/>
    <n v="120.7"/>
    <n v="129.80000000000001"/>
    <n v="145.30000000000001"/>
    <n v="128.30000000000001"/>
    <n v="131"/>
    <n v="138"/>
  </r>
  <r>
    <x v="2"/>
    <x v="5"/>
    <x v="7"/>
    <n v="138.30000000000001"/>
    <n v="148"/>
    <n v="138.1"/>
    <n v="142.6"/>
    <n v="122.2"/>
    <n v="150.6"/>
    <n v="156.6"/>
    <n v="122.4"/>
    <n v="114.7"/>
    <n v="139.4"/>
    <n v="131.1"/>
    <n v="153"/>
    <n v="1667.6"/>
    <n v="141.69999999999999"/>
    <n v="157.9"/>
    <n v="552.70000000000005"/>
    <n v="147.30000000000001"/>
    <n v="138.80000000000001"/>
    <n v="432.20000000000005"/>
    <n v="146.1"/>
    <n v="144.6"/>
    <n v="284"/>
    <n v="140.9"/>
    <n v="139.4"/>
    <n v="137.69999999999999"/>
    <n v="124.3"/>
    <n v="133.6"/>
    <n v="146"/>
    <n v="130.1"/>
    <n v="133.9"/>
    <n v="140.4"/>
  </r>
  <r>
    <x v="0"/>
    <x v="5"/>
    <x v="8"/>
    <n v="139.4"/>
    <n v="147.19999999999999"/>
    <n v="136.6"/>
    <n v="143.69999999999999"/>
    <n v="124.6"/>
    <n v="150.1"/>
    <n v="149.4"/>
    <n v="125.4"/>
    <n v="114.4"/>
    <n v="138.69999999999999"/>
    <n v="133.1"/>
    <n v="155.9"/>
    <n v="1666.7"/>
    <n v="141.30000000000001"/>
    <n v="157.69999999999999"/>
    <n v="562.79999999999995"/>
    <n v="152.1"/>
    <n v="146.1"/>
    <n v="449.5"/>
    <n v="151.30000000000001"/>
    <n v="145.30000000000001"/>
    <n v="289.3"/>
    <n v="149"/>
    <n v="144"/>
    <n v="140"/>
    <n v="129.9"/>
    <n v="140"/>
    <n v="147.6"/>
    <n v="132"/>
    <n v="137.4"/>
    <n v="142.1"/>
  </r>
  <r>
    <x v="1"/>
    <x v="5"/>
    <x v="8"/>
    <n v="137"/>
    <n v="143.1"/>
    <n v="132.80000000000001"/>
    <n v="141.5"/>
    <n v="117.8"/>
    <n v="140"/>
    <n v="151.30000000000001"/>
    <n v="113.5"/>
    <n v="112.3"/>
    <n v="141.19999999999999"/>
    <n v="127.7"/>
    <n v="151.30000000000001"/>
    <n v="1620.6999999999998"/>
    <n v="138.9"/>
    <n v="163.30000000000001"/>
    <n v="550.5"/>
    <n v="140.80000000000001"/>
    <n v="129.30000000000001"/>
    <n v="409.20000000000005"/>
    <n v="139.1"/>
    <n v="145.30000000000001"/>
    <n v="280.20000000000005"/>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648.6999999999998"/>
    <n v="140.4"/>
    <n v="159.19999999999999"/>
    <n v="555.4"/>
    <n v="147.69999999999999"/>
    <n v="139.1"/>
    <n v="433.29999999999995"/>
    <n v="146.5"/>
    <n v="145.30000000000001"/>
    <n v="285"/>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647.6"/>
    <n v="140.19999999999999"/>
    <n v="159.6"/>
    <n v="568.69999999999993"/>
    <n v="150.69999999999999"/>
    <n v="144.5"/>
    <n v="445"/>
    <n v="149.80000000000001"/>
    <n v="146.6"/>
    <n v="294.10000000000002"/>
    <n v="149.69999999999999"/>
    <n v="147.5"/>
    <n v="144.80000000000001"/>
    <n v="130.80000000000001"/>
    <n v="140.1"/>
    <n v="148"/>
    <n v="134.4"/>
    <n v="139.80000000000001"/>
    <n v="142.19999999999999"/>
  </r>
  <r>
    <x v="1"/>
    <x v="5"/>
    <x v="9"/>
    <n v="137.6"/>
    <n v="144.9"/>
    <n v="133.5"/>
    <n v="141.5"/>
    <n v="118"/>
    <n v="139.5"/>
    <n v="153"/>
    <n v="113.2"/>
    <n v="112.8"/>
    <n v="141.1"/>
    <n v="127.6"/>
    <n v="152"/>
    <n v="1626.5"/>
    <n v="139.4"/>
    <n v="164"/>
    <n v="552.70000000000005"/>
    <n v="141.5"/>
    <n v="129.80000000000001"/>
    <n v="411"/>
    <n v="139.69999999999999"/>
    <n v="146.30000000000001"/>
    <n v="281.39999999999998"/>
    <n v="133.4"/>
    <n v="135.1"/>
    <n v="136.19999999999999"/>
    <n v="123.3"/>
    <n v="130.69999999999999"/>
    <n v="145.5"/>
    <n v="130.4"/>
    <n v="132.5"/>
    <n v="138.9"/>
  </r>
  <r>
    <x v="2"/>
    <x v="5"/>
    <x v="9"/>
    <n v="137.4"/>
    <n v="149.5"/>
    <n v="137.30000000000001"/>
    <n v="141.9"/>
    <n v="121.1"/>
    <n v="142.5"/>
    <n v="146.69999999999999"/>
    <n v="119.1"/>
    <n v="111.9"/>
    <n v="141"/>
    <n v="133.6"/>
    <n v="154.5"/>
    <n v="1642.6000000000001"/>
    <n v="139.69999999999999"/>
    <n v="162.6"/>
    <n v="564.70000000000005"/>
    <n v="148"/>
    <n v="139.19999999999999"/>
    <n v="434"/>
    <n v="146.80000000000001"/>
    <n v="146.9"/>
    <n v="289.10000000000002"/>
    <n v="145.30000000000001"/>
    <n v="142.19999999999999"/>
    <n v="142.1"/>
    <n v="125.5"/>
    <n v="136.5"/>
    <n v="147.80000000000001"/>
    <n v="132"/>
    <n v="136.30000000000001"/>
    <n v="140.80000000000001"/>
  </r>
  <r>
    <x v="0"/>
    <x v="5"/>
    <x v="10"/>
    <n v="137.1"/>
    <n v="150.80000000000001"/>
    <n v="136.69999999999999"/>
    <n v="141.9"/>
    <n v="122.8"/>
    <n v="143.9"/>
    <n v="147.5"/>
    <n v="121"/>
    <n v="111.6"/>
    <n v="140.6"/>
    <n v="137.5"/>
    <n v="156.1"/>
    <n v="1649.9999999999998"/>
    <n v="140"/>
    <n v="161.9"/>
    <n v="575.6"/>
    <n v="151.69999999999999"/>
    <n v="145.5"/>
    <n v="448"/>
    <n v="150.80000000000001"/>
    <n v="146.9"/>
    <n v="294.89999999999998"/>
    <n v="150.30000000000001"/>
    <n v="148"/>
    <n v="145.4"/>
    <n v="130.30000000000001"/>
    <n v="143.1"/>
    <n v="150.19999999999999"/>
    <n v="133.1"/>
    <n v="140.1"/>
    <n v="142.4"/>
  </r>
  <r>
    <x v="1"/>
    <x v="5"/>
    <x v="10"/>
    <n v="138.1"/>
    <n v="146.30000000000001"/>
    <n v="137.80000000000001"/>
    <n v="141.6"/>
    <n v="118.1"/>
    <n v="141.5"/>
    <n v="145.19999999999999"/>
    <n v="115.3"/>
    <n v="112.5"/>
    <n v="141.4"/>
    <n v="128"/>
    <n v="152.6"/>
    <n v="1629.4999999999998"/>
    <n v="139.1"/>
    <n v="164.4"/>
    <n v="554.20000000000005"/>
    <n v="142.4"/>
    <n v="130.19999999999999"/>
    <n v="413.1"/>
    <n v="140.5"/>
    <n v="146.9"/>
    <n v="282.70000000000005"/>
    <n v="136.69999999999999"/>
    <n v="135.80000000000001"/>
    <n v="136.80000000000001"/>
    <n v="121.2"/>
    <n v="131.30000000000001"/>
    <n v="146.1"/>
    <n v="130.5"/>
    <n v="132.19999999999999"/>
    <n v="139"/>
  </r>
  <r>
    <x v="2"/>
    <x v="5"/>
    <x v="10"/>
    <n v="137.4"/>
    <n v="149.19999999999999"/>
    <n v="137.1"/>
    <n v="141.80000000000001"/>
    <n v="121.1"/>
    <n v="142.80000000000001"/>
    <n v="146.69999999999999"/>
    <n v="119.1"/>
    <n v="111.9"/>
    <n v="140.9"/>
    <n v="133.5"/>
    <n v="154.5"/>
    <n v="1642.2"/>
    <n v="139.69999999999999"/>
    <n v="162.6"/>
    <n v="564.6"/>
    <n v="148"/>
    <n v="139.1"/>
    <n v="433.8"/>
    <n v="146.69999999999999"/>
    <n v="146.9"/>
    <n v="289.10000000000002"/>
    <n v="145.1"/>
    <n v="142.19999999999999"/>
    <n v="142.1"/>
    <n v="125.5"/>
    <n v="136.5"/>
    <n v="147.80000000000001"/>
    <n v="132"/>
    <n v="136.30000000000001"/>
    <n v="140.80000000000001"/>
  </r>
  <r>
    <x v="0"/>
    <x v="5"/>
    <x v="11"/>
    <n v="137.1"/>
    <n v="151.9"/>
    <n v="137.4"/>
    <n v="142.4"/>
    <n v="124.2"/>
    <n v="140.19999999999999"/>
    <n v="136.6"/>
    <n v="120.9"/>
    <n v="109.9"/>
    <n v="140.19999999999999"/>
    <n v="137.80000000000001"/>
    <n v="156"/>
    <n v="1635.3000000000002"/>
    <n v="138.5"/>
    <n v="162.4"/>
    <n v="576.70000000000005"/>
    <n v="151.6"/>
    <n v="145.9"/>
    <n v="448.3"/>
    <n v="150.80000000000001"/>
    <n v="146.5"/>
    <n v="296"/>
    <n v="149"/>
    <n v="149.5"/>
    <n v="149.6"/>
    <n v="128.9"/>
    <n v="143.30000000000001"/>
    <n v="155.1"/>
    <n v="133.19999999999999"/>
    <n v="141.6"/>
    <n v="141.9"/>
  </r>
  <r>
    <x v="1"/>
    <x v="5"/>
    <x v="11"/>
    <n v="138.5"/>
    <n v="147.80000000000001"/>
    <n v="141.1"/>
    <n v="141.6"/>
    <n v="118.1"/>
    <n v="138.5"/>
    <n v="132.4"/>
    <n v="117.5"/>
    <n v="111"/>
    <n v="141.5"/>
    <n v="128.1"/>
    <n v="152.9"/>
    <n v="1618.4999999999998"/>
    <n v="137.6"/>
    <n v="164.6"/>
    <n v="555.20000000000005"/>
    <n v="142.69999999999999"/>
    <n v="130.30000000000001"/>
    <n v="413.8"/>
    <n v="140.80000000000001"/>
    <n v="146.5"/>
    <n v="282.7"/>
    <n v="132.4"/>
    <n v="136.19999999999999"/>
    <n v="137.30000000000001"/>
    <n v="118.8"/>
    <n v="131.69999999999999"/>
    <n v="146.5"/>
    <n v="130.80000000000001"/>
    <n v="131.69999999999999"/>
    <n v="138"/>
  </r>
  <r>
    <x v="2"/>
    <x v="5"/>
    <x v="11"/>
    <n v="137.5"/>
    <n v="150.5"/>
    <n v="138.80000000000001"/>
    <n v="142.1"/>
    <n v="122"/>
    <n v="139.4"/>
    <n v="135.19999999999999"/>
    <n v="119.8"/>
    <n v="110.3"/>
    <n v="140.6"/>
    <n v="133.80000000000001"/>
    <n v="154.6"/>
    <n v="1629"/>
    <n v="138.19999999999999"/>
    <n v="163"/>
    <n v="565.79999999999995"/>
    <n v="148.1"/>
    <n v="139.4"/>
    <n v="434.3"/>
    <n v="146.80000000000001"/>
    <n v="146.5"/>
    <n v="289.7"/>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622.6"/>
    <n v="137.4"/>
    <n v="162.69999999999999"/>
    <n v="576.1"/>
    <n v="150.6"/>
    <n v="145.1"/>
    <n v="445.6"/>
    <n v="149.9"/>
    <n v="147.69999999999999"/>
    <n v="297.79999999999995"/>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616.2"/>
    <n v="137.30000000000001"/>
    <n v="164.7"/>
    <n v="556.39999999999986"/>
    <n v="143"/>
    <n v="130.4"/>
    <n v="414.5"/>
    <n v="141.1"/>
    <n v="147.69999999999999"/>
    <n v="284"/>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620.1000000000001"/>
    <n v="137.4"/>
    <n v="163.19999999999999"/>
    <n v="566"/>
    <n v="147.6"/>
    <n v="139"/>
    <n v="433"/>
    <n v="146.4"/>
    <n v="147.69999999999999"/>
    <n v="291.29999999999995"/>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622.4"/>
    <n v="137.19999999999999"/>
    <n v="162.80000000000001"/>
    <n v="578.5"/>
    <n v="150.5"/>
    <n v="146.1"/>
    <n v="446.5"/>
    <n v="149.9"/>
    <n v="148.5"/>
    <n v="298.60000000000002"/>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626.1"/>
    <n v="138"/>
    <n v="164.9"/>
    <n v="558.40000000000009"/>
    <n v="143.30000000000001"/>
    <n v="130.80000000000001"/>
    <n v="415.5"/>
    <n v="141.4"/>
    <n v="148.5"/>
    <n v="285.10000000000002"/>
    <n v="127.1"/>
    <n v="136.6"/>
    <n v="138.5"/>
    <n v="119.2"/>
    <n v="132.19999999999999"/>
    <n v="146.6"/>
    <n v="133"/>
    <n v="132.4"/>
    <n v="138.6"/>
  </r>
  <r>
    <x v="2"/>
    <x v="6"/>
    <x v="1"/>
    <n v="137.6"/>
    <n v="152"/>
    <n v="141.5"/>
    <n v="142.19999999999999"/>
    <n v="122"/>
    <n v="136.4"/>
    <n v="129.69999999999999"/>
    <n v="121"/>
    <n v="109"/>
    <n v="139.69999999999999"/>
    <n v="133.6"/>
    <n v="154.9"/>
    <n v="1623.4999999999998"/>
    <n v="137.5"/>
    <n v="163.4"/>
    <n v="568.20000000000005"/>
    <n v="147.69999999999999"/>
    <n v="139.69999999999999"/>
    <n v="433.9"/>
    <n v="146.5"/>
    <n v="148.5"/>
    <n v="292.2"/>
    <n v="138.4"/>
    <n v="143.69999999999999"/>
    <n v="145.6"/>
    <n v="123.9"/>
    <n v="137.1"/>
    <n v="150.30000000000001"/>
    <n v="134.1"/>
    <n v="137.4"/>
    <n v="139.9"/>
  </r>
  <r>
    <x v="0"/>
    <x v="6"/>
    <x v="2"/>
    <n v="136.9"/>
    <n v="154.1"/>
    <n v="138.69999999999999"/>
    <n v="142.5"/>
    <n v="124.1"/>
    <n v="136.1"/>
    <n v="128.19999999999999"/>
    <n v="122.3"/>
    <n v="108.3"/>
    <n v="138.9"/>
    <n v="137.4"/>
    <n v="156.4"/>
    <n v="1623.8"/>
    <n v="137.30000000000001"/>
    <n v="162.9"/>
    <n v="578.1"/>
    <n v="150.80000000000001"/>
    <n v="146.1"/>
    <n v="447"/>
    <n v="150.1"/>
    <n v="149"/>
    <n v="299"/>
    <n v="146.4"/>
    <n v="150"/>
    <n v="150.4"/>
    <n v="129.9"/>
    <n v="143.80000000000001"/>
    <n v="155.5"/>
    <n v="134"/>
    <n v="142.4"/>
    <n v="141.19999999999999"/>
  </r>
  <r>
    <x v="1"/>
    <x v="6"/>
    <x v="2"/>
    <n v="139.69999999999999"/>
    <n v="151.1"/>
    <n v="142.9"/>
    <n v="141.9"/>
    <n v="118.4"/>
    <n v="139.4"/>
    <n v="141.19999999999999"/>
    <n v="120.7"/>
    <n v="110.4"/>
    <n v="140.69999999999999"/>
    <n v="128.5"/>
    <n v="153.9"/>
    <n v="1639.9"/>
    <n v="139.6"/>
    <n v="165.3"/>
    <n v="559.29999999999995"/>
    <n v="143.5"/>
    <n v="131.19999999999999"/>
    <n v="416.29999999999995"/>
    <n v="141.6"/>
    <n v="149"/>
    <n v="285.8"/>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629.1999999999998"/>
    <n v="138.1"/>
    <n v="163.5"/>
    <n v="568.29999999999995"/>
    <n v="147.9"/>
    <n v="139.9"/>
    <n v="434.5"/>
    <n v="146.69999999999999"/>
    <n v="149"/>
    <n v="292.8"/>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644.4"/>
    <n v="139.19999999999999"/>
    <n v="163.30000000000001"/>
    <n v="580.79999999999995"/>
    <n v="151.30000000000001"/>
    <n v="146.6"/>
    <n v="448.59999999999997"/>
    <n v="150.69999999999999"/>
    <n v="150.1"/>
    <n v="299.60000000000002"/>
    <n v="146.9"/>
    <n v="149.5"/>
    <n v="151.30000000000001"/>
    <n v="130.19999999999999"/>
    <n v="145.9"/>
    <n v="156.69999999999999"/>
    <n v="133.9"/>
    <n v="142.9"/>
    <n v="142.4"/>
  </r>
  <r>
    <x v="1"/>
    <x v="6"/>
    <x v="4"/>
    <n v="140.4"/>
    <n v="156.69999999999999"/>
    <n v="138.30000000000001"/>
    <n v="142.4"/>
    <n v="118.6"/>
    <n v="149.69999999999999"/>
    <n v="161.6"/>
    <n v="124.4"/>
    <n v="111.2"/>
    <n v="141"/>
    <n v="128.9"/>
    <n v="154.5"/>
    <n v="1682.6000000000001"/>
    <n v="143.80000000000001"/>
    <n v="166.2"/>
    <n v="561.70000000000005"/>
    <n v="144"/>
    <n v="131.69999999999999"/>
    <n v="417.9"/>
    <n v="142.19999999999999"/>
    <n v="150.1"/>
    <n v="287.29999999999995"/>
    <n v="129.4"/>
    <n v="137.19999999999999"/>
    <n v="139.80000000000001"/>
    <n v="120.1"/>
    <n v="134"/>
    <n v="148"/>
    <n v="132.6"/>
    <n v="133.30000000000001"/>
    <n v="141.5"/>
  </r>
  <r>
    <x v="2"/>
    <x v="6"/>
    <x v="4"/>
    <n v="138.30000000000001"/>
    <n v="158.5"/>
    <n v="136"/>
    <n v="142.5"/>
    <n v="122"/>
    <n v="146.5"/>
    <n v="143"/>
    <n v="124.9"/>
    <n v="109.9"/>
    <n v="139.9"/>
    <n v="134"/>
    <n v="155.5"/>
    <n v="1657.8999999999999"/>
    <n v="140.9"/>
    <n v="164.1"/>
    <n v="570.70000000000005"/>
    <n v="148.4"/>
    <n v="140.4"/>
    <n v="436.1"/>
    <n v="147.30000000000001"/>
    <n v="150.1"/>
    <n v="293.79999999999995"/>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666.2"/>
    <n v="141"/>
    <n v="164.2"/>
    <n v="583.40000000000009"/>
    <n v="151.4"/>
    <n v="146.5"/>
    <n v="448.59999999999997"/>
    <n v="150.69999999999999"/>
    <n v="149.4"/>
    <n v="299"/>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704.3000000000002"/>
    <n v="145.6"/>
    <n v="166.7"/>
    <n v="563.70000000000005"/>
    <n v="144.30000000000001"/>
    <n v="131.69999999999999"/>
    <n v="418.4"/>
    <n v="142.4"/>
    <n v="149.4"/>
    <n v="286.8"/>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679.8999999999999"/>
    <n v="142.69999999999999"/>
    <n v="164.9"/>
    <n v="573"/>
    <n v="148.6"/>
    <n v="140.4"/>
    <n v="436.4"/>
    <n v="147.4"/>
    <n v="149.4"/>
    <n v="293.20000000000005"/>
    <n v="141.19999999999999"/>
    <n v="143.80000000000001"/>
    <n v="147.4"/>
    <n v="124.6"/>
    <n v="139.6"/>
    <n v="152.5"/>
    <n v="134.30000000000001"/>
    <n v="138.6"/>
    <n v="142.9"/>
  </r>
  <r>
    <x v="0"/>
    <x v="6"/>
    <x v="6"/>
    <n v="138.4"/>
    <n v="164"/>
    <n v="138.4"/>
    <n v="143.9"/>
    <n v="124.4"/>
    <n v="146.4"/>
    <n v="150.1"/>
    <n v="130.6"/>
    <n v="110.8"/>
    <n v="141.69999999999999"/>
    <n v="138.5"/>
    <n v="156.69999999999999"/>
    <n v="1688.4"/>
    <n v="143"/>
    <n v="164.5"/>
    <n v="586.6"/>
    <n v="151.6"/>
    <n v="146.6"/>
    <n v="449.1"/>
    <n v="150.9"/>
    <n v="150.6"/>
    <n v="300.60000000000002"/>
    <n v="146.80000000000001"/>
    <n v="150"/>
    <n v="152.19999999999999"/>
    <n v="131.19999999999999"/>
    <n v="147.5"/>
    <n v="159.1"/>
    <n v="136.1"/>
    <n v="144.19999999999999"/>
    <n v="144.9"/>
  </r>
  <r>
    <x v="1"/>
    <x v="6"/>
    <x v="6"/>
    <n v="141.4"/>
    <n v="160.19999999999999"/>
    <n v="142.5"/>
    <n v="144.1"/>
    <n v="119.3"/>
    <n v="154.69999999999999"/>
    <n v="180.1"/>
    <n v="128.9"/>
    <n v="111.8"/>
    <n v="141.6"/>
    <n v="129.5"/>
    <n v="155.6"/>
    <n v="1727.9"/>
    <n v="147.69999999999999"/>
    <n v="167.2"/>
    <n v="566.79999999999995"/>
    <n v="144.69999999999999"/>
    <n v="131.9"/>
    <n v="419.3"/>
    <n v="142.69999999999999"/>
    <n v="150.6"/>
    <n v="288.29999999999995"/>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702.8"/>
    <n v="144.69999999999999"/>
    <n v="165.2"/>
    <n v="576.09999999999991"/>
    <n v="148.9"/>
    <n v="140.5"/>
    <n v="437"/>
    <n v="147.6"/>
    <n v="150.6"/>
    <n v="294.79999999999995"/>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696"/>
    <n v="144"/>
    <n v="165.1"/>
    <n v="590.40000000000009"/>
    <n v="151.80000000000001"/>
    <n v="146.6"/>
    <n v="449.5"/>
    <n v="151.1"/>
    <n v="151.6"/>
    <n v="301.79999999999995"/>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739.2999999999997"/>
    <n v="149.1"/>
    <n v="167.9"/>
    <n v="570.90000000000009"/>
    <n v="145"/>
    <n v="132.19999999999999"/>
    <n v="420.2"/>
    <n v="143"/>
    <n v="151.6"/>
    <n v="289.7"/>
    <n v="125.5"/>
    <n v="138.1"/>
    <n v="141.5"/>
    <n v="120.8"/>
    <n v="135.4"/>
    <n v="151.5"/>
    <n v="137.80000000000001"/>
    <n v="135.30000000000001"/>
    <n v="144.19999999999999"/>
  </r>
  <r>
    <x v="2"/>
    <x v="6"/>
    <x v="7"/>
    <n v="140.1"/>
    <n v="160.6"/>
    <n v="138.5"/>
    <n v="144.69999999999999"/>
    <n v="122.9"/>
    <n v="149.4"/>
    <n v="167.4"/>
    <n v="130.9"/>
    <n v="112"/>
    <n v="142.6"/>
    <n v="134.9"/>
    <n v="156.6"/>
    <n v="1711.6"/>
    <n v="145.9"/>
    <n v="165.8"/>
    <n v="580"/>
    <n v="149.1"/>
    <n v="140.6"/>
    <n v="437.6"/>
    <n v="147.9"/>
    <n v="151.6"/>
    <n v="296.10000000000002"/>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710.1999999999998"/>
    <n v="145.5"/>
    <n v="165.7"/>
    <n v="592.70000000000005"/>
    <n v="151.69999999999999"/>
    <n v="146.6"/>
    <n v="449.29999999999995"/>
    <n v="151"/>
    <n v="152.19999999999999"/>
    <n v="302.5"/>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744.9"/>
    <n v="149.5"/>
    <n v="168.6"/>
    <n v="573.5"/>
    <n v="145.30000000000001"/>
    <n v="132.19999999999999"/>
    <n v="420.8"/>
    <n v="143.30000000000001"/>
    <n v="152.19999999999999"/>
    <n v="290.5"/>
    <n v="126.6"/>
    <n v="138.30000000000001"/>
    <n v="141.9"/>
    <n v="121.2"/>
    <n v="135.9"/>
    <n v="151.6"/>
    <n v="139"/>
    <n v="135.69999999999999"/>
    <n v="144.69999999999999"/>
  </r>
  <r>
    <x v="2"/>
    <x v="6"/>
    <x v="8"/>
    <n v="140.9"/>
    <n v="160.80000000000001"/>
    <n v="139.6"/>
    <n v="145.4"/>
    <n v="123.5"/>
    <n v="146.6"/>
    <n v="173.2"/>
    <n v="131.6"/>
    <n v="113.2"/>
    <n v="144.1"/>
    <n v="135"/>
    <n v="156.80000000000001"/>
    <n v="1722.6999999999998"/>
    <n v="147"/>
    <n v="166.5"/>
    <n v="582.5"/>
    <n v="149.19999999999999"/>
    <n v="140.6"/>
    <n v="437.69999999999993"/>
    <n v="147.9"/>
    <n v="152.19999999999999"/>
    <n v="296.79999999999995"/>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738.3000000000002"/>
    <n v="148.30000000000001"/>
    <n v="166.3"/>
    <n v="593.9"/>
    <n v="151.69999999999999"/>
    <n v="146.69999999999999"/>
    <n v="449.4"/>
    <n v="151"/>
    <n v="153"/>
    <n v="303.60000000000002"/>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772.4"/>
    <n v="151.9"/>
    <n v="169.3"/>
    <n v="575.20000000000005"/>
    <n v="145.9"/>
    <n v="132.4"/>
    <n v="422.20000000000005"/>
    <n v="143.9"/>
    <n v="153"/>
    <n v="291.7"/>
    <n v="128.9"/>
    <n v="138.69999999999999"/>
    <n v="142.4"/>
    <n v="121.5"/>
    <n v="136.19999999999999"/>
    <n v="151.69999999999999"/>
    <n v="139.5"/>
    <n v="136"/>
    <n v="146"/>
  </r>
  <r>
    <x v="2"/>
    <x v="6"/>
    <x v="9"/>
    <n v="141.80000000000001"/>
    <n v="161"/>
    <n v="142.6"/>
    <n v="146.19999999999999"/>
    <n v="123.9"/>
    <n v="148"/>
    <n v="188.4"/>
    <n v="132.5"/>
    <n v="114"/>
    <n v="145.4"/>
    <n v="135.1"/>
    <n v="157.1"/>
    <n v="1750.4999999999998"/>
    <n v="149.6"/>
    <n v="167.1"/>
    <n v="583.9"/>
    <n v="149.4"/>
    <n v="140.80000000000001"/>
    <n v="438.40000000000003"/>
    <n v="148.19999999999999"/>
    <n v="153"/>
    <n v="298"/>
    <n v="140.6"/>
    <n v="145"/>
    <n v="149.4"/>
    <n v="126.3"/>
    <n v="141.69999999999999"/>
    <n v="155.4"/>
    <n v="140"/>
    <n v="141"/>
    <n v="147.19999999999999"/>
  </r>
  <r>
    <x v="0"/>
    <x v="6"/>
    <x v="10"/>
    <n v="141.80000000000001"/>
    <n v="163.69999999999999"/>
    <n v="143.80000000000001"/>
    <n v="147.1"/>
    <n v="126"/>
    <n v="146.19999999999999"/>
    <n v="191.4"/>
    <n v="136.19999999999999"/>
    <n v="113.8"/>
    <n v="147.30000000000001"/>
    <n v="138.69999999999999"/>
    <n v="157.69999999999999"/>
    <n v="1765.8999999999999"/>
    <n v="150.9"/>
    <n v="167.2"/>
    <n v="595.6"/>
    <n v="152.30000000000001"/>
    <n v="147"/>
    <n v="450.8"/>
    <n v="151.5"/>
    <n v="153.5"/>
    <n v="304.39999999999998"/>
    <n v="148.4"/>
    <n v="150.9"/>
    <n v="154.30000000000001"/>
    <n v="132.1"/>
    <n v="149.1"/>
    <n v="160.80000000000001"/>
    <n v="140.6"/>
    <n v="146.1"/>
    <n v="149.9"/>
  </r>
  <r>
    <x v="1"/>
    <x v="6"/>
    <x v="10"/>
    <n v="144.1"/>
    <n v="162.4"/>
    <n v="148.4"/>
    <n v="145.9"/>
    <n v="121.5"/>
    <n v="148.80000000000001"/>
    <n v="215.7"/>
    <n v="134.6"/>
    <n v="115"/>
    <n v="146.30000000000001"/>
    <n v="130.5"/>
    <n v="157.19999999999999"/>
    <n v="1793.5"/>
    <n v="153.6"/>
    <n v="169.9"/>
    <n v="576.9"/>
    <n v="146.30000000000001"/>
    <n v="132.6"/>
    <n v="423.09999999999997"/>
    <n v="144.19999999999999"/>
    <n v="153.5"/>
    <n v="292.60000000000002"/>
    <n v="132.19999999999999"/>
    <n v="139.1"/>
    <n v="142.80000000000001"/>
    <n v="121.7"/>
    <n v="136.69999999999999"/>
    <n v="151.80000000000001"/>
    <n v="139.80000000000001"/>
    <n v="136.30000000000001"/>
    <n v="147"/>
  </r>
  <r>
    <x v="2"/>
    <x v="6"/>
    <x v="10"/>
    <n v="142.5"/>
    <n v="163.19999999999999"/>
    <n v="145.6"/>
    <n v="146.69999999999999"/>
    <n v="124.3"/>
    <n v="147.4"/>
    <n v="199.6"/>
    <n v="135.69999999999999"/>
    <n v="114.2"/>
    <n v="147"/>
    <n v="135.30000000000001"/>
    <n v="157.5"/>
    <n v="1775.6000000000001"/>
    <n v="151.9"/>
    <n v="167.9"/>
    <n v="585.60000000000014"/>
    <n v="149.9"/>
    <n v="141"/>
    <n v="439.5"/>
    <n v="148.6"/>
    <n v="153.5"/>
    <n v="298.8"/>
    <n v="142.30000000000001"/>
    <n v="145.30000000000001"/>
    <n v="149.9"/>
    <n v="126.6"/>
    <n v="142.1"/>
    <n v="155.5"/>
    <n v="140.30000000000001"/>
    <n v="141.30000000000001"/>
    <n v="148.6"/>
  </r>
  <r>
    <x v="0"/>
    <x v="6"/>
    <x v="11"/>
    <n v="142.80000000000001"/>
    <n v="165.3"/>
    <n v="149.5"/>
    <n v="148.69999999999999"/>
    <n v="127.5"/>
    <n v="144.30000000000001"/>
    <n v="209.5"/>
    <n v="138.80000000000001"/>
    <n v="113.6"/>
    <n v="149.1"/>
    <n v="139.30000000000001"/>
    <n v="158.30000000000001"/>
    <n v="1801.6999999999998"/>
    <n v="154.30000000000001"/>
    <n v="167.8"/>
    <n v="597.20000000000005"/>
    <n v="152.6"/>
    <n v="147.30000000000001"/>
    <n v="451.79999999999995"/>
    <n v="151.9"/>
    <n v="152.80000000000001"/>
    <n v="304"/>
    <n v="149.9"/>
    <n v="151.19999999999999"/>
    <n v="154.80000000000001"/>
    <n v="135"/>
    <n v="149.5"/>
    <n v="161.1"/>
    <n v="140.6"/>
    <n v="147.1"/>
    <n v="152.30000000000001"/>
  </r>
  <r>
    <x v="1"/>
    <x v="6"/>
    <x v="11"/>
    <n v="144.9"/>
    <n v="164.5"/>
    <n v="153.69999999999999"/>
    <n v="147.5"/>
    <n v="122.7"/>
    <n v="147.19999999999999"/>
    <n v="231.5"/>
    <n v="137.19999999999999"/>
    <n v="114.7"/>
    <n v="148"/>
    <n v="130.80000000000001"/>
    <n v="157.69999999999999"/>
    <n v="1825.9"/>
    <n v="156.30000000000001"/>
    <n v="170.4"/>
    <n v="578.20000000000005"/>
    <n v="146.80000000000001"/>
    <n v="132.80000000000001"/>
    <n v="424.20000000000005"/>
    <n v="144.6"/>
    <n v="152.80000000000001"/>
    <n v="292.60000000000002"/>
    <n v="133.6"/>
    <n v="139.80000000000001"/>
    <n v="143.19999999999999"/>
    <n v="125.2"/>
    <n v="136.80000000000001"/>
    <n v="151.9"/>
    <n v="140.19999999999999"/>
    <n v="137.69999999999999"/>
    <n v="148.30000000000001"/>
  </r>
  <r>
    <x v="2"/>
    <x v="6"/>
    <x v="11"/>
    <n v="143.5"/>
    <n v="165"/>
    <n v="151.1"/>
    <n v="148.30000000000001"/>
    <n v="125.7"/>
    <n v="145.69999999999999"/>
    <n v="217"/>
    <n v="138.30000000000001"/>
    <n v="114"/>
    <n v="148.69999999999999"/>
    <n v="135.80000000000001"/>
    <n v="158"/>
    <n v="1810.3"/>
    <n v="155"/>
    <n v="168.5"/>
    <n v="587"/>
    <n v="150.30000000000001"/>
    <n v="141.30000000000001"/>
    <n v="440.6"/>
    <n v="149"/>
    <n v="152.80000000000001"/>
    <n v="298.60000000000002"/>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798.8999999999999"/>
    <n v="153"/>
    <n v="168.6"/>
    <n v="600.9"/>
    <n v="152.80000000000001"/>
    <n v="147.4"/>
    <n v="452.30000000000007"/>
    <n v="152.1"/>
    <n v="153.9"/>
    <n v="305.60000000000002"/>
    <n v="150.4"/>
    <n v="151.69999999999999"/>
    <n v="155.69999999999999"/>
    <n v="136.30000000000001"/>
    <n v="150.1"/>
    <n v="161.69999999999999"/>
    <n v="142.5"/>
    <n v="148.1"/>
    <n v="151.9"/>
  </r>
  <r>
    <x v="1"/>
    <x v="7"/>
    <x v="0"/>
    <n v="145.6"/>
    <n v="167.6"/>
    <n v="157"/>
    <n v="149.30000000000001"/>
    <n v="126.3"/>
    <n v="144.4"/>
    <n v="207.8"/>
    <n v="139.1"/>
    <n v="114.8"/>
    <n v="149.5"/>
    <n v="131.1"/>
    <n v="158.5"/>
    <n v="1814.3"/>
    <n v="154.4"/>
    <n v="170.8"/>
    <n v="581.19999999999993"/>
    <n v="147"/>
    <n v="133.19999999999999"/>
    <n v="425.1"/>
    <n v="144.9"/>
    <n v="153.9"/>
    <n v="294"/>
    <n v="135.1"/>
    <n v="140.1"/>
    <n v="143.80000000000001"/>
    <n v="126.1"/>
    <n v="137.19999999999999"/>
    <n v="152.1"/>
    <n v="142.1"/>
    <n v="138.4"/>
    <n v="148.19999999999999"/>
  </r>
  <r>
    <x v="2"/>
    <x v="7"/>
    <x v="0"/>
    <n v="144.30000000000001"/>
    <n v="167.4"/>
    <n v="154.9"/>
    <n v="150.1"/>
    <n v="129.9"/>
    <n v="143.19999999999999"/>
    <n v="197"/>
    <n v="140.4"/>
    <n v="114.1"/>
    <n v="150.9"/>
    <n v="136.1"/>
    <n v="158.6"/>
    <n v="1804.3000000000002"/>
    <n v="153.5"/>
    <n v="169.2"/>
    <n v="590.4"/>
    <n v="150.5"/>
    <n v="141.5"/>
    <n v="441.2"/>
    <n v="149.19999999999999"/>
    <n v="153.9"/>
    <n v="300.10000000000002"/>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769.7000000000003"/>
    <n v="149.80000000000001"/>
    <n v="169.4"/>
    <n v="603.29999999999995"/>
    <n v="153"/>
    <n v="147.5"/>
    <n v="452.8"/>
    <n v="152.30000000000001"/>
    <n v="154.80000000000001"/>
    <n v="306.60000000000002"/>
    <n v="152.30000000000001"/>
    <n v="151.80000000000001"/>
    <n v="156.19999999999999"/>
    <n v="136"/>
    <n v="150.4"/>
    <n v="161.9"/>
    <n v="143.4"/>
    <n v="148.4"/>
    <n v="150.4"/>
  </r>
  <r>
    <x v="1"/>
    <x v="7"/>
    <x v="1"/>
    <n v="146.19999999999999"/>
    <n v="167.6"/>
    <n v="153.1"/>
    <n v="150.69999999999999"/>
    <n v="127.4"/>
    <n v="143.1"/>
    <n v="181.7"/>
    <n v="139.6"/>
    <n v="114.6"/>
    <n v="150.4"/>
    <n v="131.5"/>
    <n v="159"/>
    <n v="1785.1"/>
    <n v="151.69999999999999"/>
    <n v="172"/>
    <n v="584.70000000000005"/>
    <n v="147.30000000000001"/>
    <n v="133.5"/>
    <n v="426"/>
    <n v="145.19999999999999"/>
    <n v="154.80000000000001"/>
    <n v="295.20000000000005"/>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775.1"/>
    <n v="150.5"/>
    <n v="170.1"/>
    <n v="593.20000000000005"/>
    <n v="150.80000000000001"/>
    <n v="141.69999999999999"/>
    <n v="442"/>
    <n v="149.5"/>
    <n v="154.80000000000001"/>
    <n v="301.20000000000005"/>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754.5"/>
    <n v="148.19999999999999"/>
    <n v="170.5"/>
    <n v="606.9"/>
    <n v="153.4"/>
    <n v="147.6"/>
    <n v="453.5"/>
    <n v="152.5"/>
    <n v="154.5"/>
    <n v="306"/>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766.6"/>
    <n v="150.1"/>
    <n v="173.3"/>
    <n v="588.40000000000009"/>
    <n v="147.69999999999999"/>
    <n v="133.80000000000001"/>
    <n v="427.1"/>
    <n v="145.6"/>
    <n v="154.5"/>
    <n v="295.3"/>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758.6999999999998"/>
    <n v="148.9"/>
    <n v="171.2"/>
    <n v="596.79999999999995"/>
    <n v="151.19999999999999"/>
    <n v="141.9"/>
    <n v="442.90000000000003"/>
    <n v="149.80000000000001"/>
    <n v="154.5"/>
    <n v="300.89999999999998"/>
    <n v="148.9"/>
    <n v="146.4"/>
    <n v="152.30000000000001"/>
    <n v="129.9"/>
    <n v="143.69999999999999"/>
    <n v="156.1"/>
    <n v="145.19999999999999"/>
    <n v="143.80000000000001"/>
    <n v="148.6"/>
  </r>
  <r>
    <x v="0"/>
    <x v="7"/>
    <x v="3"/>
    <n v="147.19999999999999"/>
    <n v="181.67"/>
    <n v="146.9"/>
    <n v="155.6"/>
    <n v="137.1"/>
    <n v="147.30000000000001"/>
    <n v="162.69999999999999"/>
    <n v="150.19999999999999"/>
    <n v="119.8"/>
    <n v="158.69999999999999"/>
    <n v="139.19999999999999"/>
    <n v="161.28"/>
    <n v="1818.55"/>
    <n v="150.1"/>
    <n v="178.68"/>
    <n v="621.52"/>
    <n v="154.81"/>
    <n v="149.48999999999998"/>
    <n v="458.37999999999994"/>
    <n v="154.07999999999998"/>
    <n v="155.6"/>
    <n v="307.61"/>
    <n v="148.4"/>
    <n v="152.01000000000002"/>
    <n v="154.30000000000001"/>
    <n v="141.80000000000001"/>
    <n v="152.30000000000001"/>
    <n v="161.92000000000002"/>
    <n v="151.34"/>
    <n v="151.92000000000002"/>
    <n v="154.56"/>
  </r>
  <r>
    <x v="1"/>
    <x v="7"/>
    <x v="3"/>
    <n v="151.80000000000001"/>
    <n v="187.25"/>
    <n v="151.9"/>
    <n v="155.5"/>
    <n v="131.6"/>
    <n v="152.9"/>
    <n v="180"/>
    <n v="150.80000000000001"/>
    <n v="121.2"/>
    <n v="154"/>
    <n v="133.5"/>
    <n v="162.37"/>
    <n v="1852.82"/>
    <n v="153.5"/>
    <n v="183.31"/>
    <n v="614.82000000000005"/>
    <n v="149.39000000000001"/>
    <n v="135.44"/>
    <n v="432.1"/>
    <n v="147.26999999999998"/>
    <n v="155.6"/>
    <n v="298.37"/>
    <n v="137.1"/>
    <n v="142.76999999999998"/>
    <n v="144.80000000000001"/>
    <n v="130.96"/>
    <n v="146.23000000000002"/>
    <n v="154.12000000000003"/>
    <n v="151.78000000000003"/>
    <n v="143"/>
    <n v="152.05000000000001"/>
  </r>
  <r>
    <x v="2"/>
    <x v="7"/>
    <x v="3"/>
    <n v="148.69999999999999"/>
    <n v="183.62"/>
    <n v="148.80000000000001"/>
    <n v="155.6"/>
    <n v="135.1"/>
    <n v="149.9"/>
    <n v="168.6"/>
    <n v="150.4"/>
    <n v="120.3"/>
    <n v="157.1"/>
    <n v="136.80000000000001"/>
    <n v="161.79"/>
    <n v="1831.3100000000002"/>
    <n v="151.4"/>
    <n v="179.9"/>
    <n v="610.67000000000007"/>
    <n v="152.69999999999999"/>
    <n v="143.65"/>
    <n v="447.72"/>
    <n v="151.36999999999998"/>
    <n v="155.6"/>
    <n v="303.25"/>
    <n v="144.1"/>
    <n v="147.65"/>
    <n v="150.69999999999999"/>
    <n v="136.09"/>
    <n v="141.55000000000001"/>
    <n v="157.36999999999998"/>
    <n v="152.42000000000002"/>
    <n v="147.61000000000001"/>
    <n v="153.38000000000002"/>
  </r>
  <r>
    <x v="0"/>
    <x v="7"/>
    <x v="4"/>
    <n v="146.04"/>
    <n v="181.67"/>
    <n v="154.52000000000001"/>
    <n v="153.04"/>
    <n v="139.15"/>
    <n v="144.71"/>
    <n v="178.83"/>
    <n v="149.12"/>
    <n v="114.5"/>
    <n v="158.46"/>
    <n v="143.9"/>
    <n v="161.28"/>
    <n v="1836.2700000000002"/>
    <n v="154.94999999999999"/>
    <n v="178.68"/>
    <n v="626.22"/>
    <n v="154.81"/>
    <n v="149.48999999999998"/>
    <n v="458.37999999999994"/>
    <n v="154.07999999999998"/>
    <m/>
    <n v="152.01000000000002"/>
    <n v="148.13636363636363"/>
    <n v="152.01000000000002"/>
    <n v="158.06363636363633"/>
    <n v="141.80000000000001"/>
    <n v="152.30000000000001"/>
    <n v="161.92000000000002"/>
    <n v="151.34"/>
    <n v="151.92000000000002"/>
    <n v="154.56"/>
  </r>
  <r>
    <x v="1"/>
    <x v="7"/>
    <x v="4"/>
    <n v="149.80000000000001"/>
    <n v="187.25"/>
    <n v="159.26"/>
    <n v="152.94999999999999"/>
    <n v="132.80000000000001"/>
    <n v="150.28"/>
    <n v="198.63"/>
    <n v="149.80000000000001"/>
    <n v="116.88"/>
    <n v="157.13"/>
    <n v="136.12"/>
    <n v="162.37"/>
    <n v="1875.63"/>
    <n v="158.47999999999999"/>
    <n v="183.31"/>
    <n v="617.44000000000005"/>
    <n v="149.39000000000001"/>
    <n v="135.44"/>
    <n v="432.1"/>
    <n v="147.26999999999998"/>
    <m/>
    <n v="142.76999999999998"/>
    <n v="137.68181818181819"/>
    <n v="142.76999999999998"/>
    <n v="148.07272727272729"/>
    <n v="130.96"/>
    <n v="146.23000000000002"/>
    <n v="154.12000000000003"/>
    <n v="151.78000000000003"/>
    <n v="143"/>
    <n v="152.05000000000001"/>
  </r>
  <r>
    <x v="2"/>
    <x v="7"/>
    <x v="4"/>
    <n v="147.25"/>
    <n v="183.62"/>
    <n v="156.36000000000001"/>
    <n v="153"/>
    <n v="136.83000000000001"/>
    <n v="147.31"/>
    <n v="185.55"/>
    <n v="149.35"/>
    <n v="115.3"/>
    <n v="158.02000000000001"/>
    <n v="140.66999999999999"/>
    <n v="161.79"/>
    <n v="1850.6299999999997"/>
    <n v="156.25"/>
    <n v="179.9"/>
    <n v="614.54"/>
    <n v="152.69999999999999"/>
    <n v="143.65"/>
    <n v="447.72"/>
    <n v="151.36999999999998"/>
    <m/>
    <n v="147.65"/>
    <n v="144.16363636363633"/>
    <n v="147.65"/>
    <n v="154.28181818181815"/>
    <n v="136.09"/>
    <n v="141.55000000000001"/>
    <n v="157.36999999999998"/>
    <n v="152.42000000000002"/>
    <n v="147.61000000000001"/>
    <n v="153.38000000000002"/>
  </r>
  <r>
    <x v="0"/>
    <x v="7"/>
    <x v="5"/>
    <n v="148.19999999999999"/>
    <n v="190.3"/>
    <n v="149.4"/>
    <n v="153.30000000000001"/>
    <n v="138.19999999999999"/>
    <n v="143.19999999999999"/>
    <n v="148.9"/>
    <n v="150.30000000000001"/>
    <n v="113.2"/>
    <n v="159.80000000000001"/>
    <n v="142.1"/>
    <n v="161.80000000000001"/>
    <n v="1808.9"/>
    <n v="152.30000000000001"/>
    <n v="182.4"/>
    <n v="628.9"/>
    <n v="154.69999999999999"/>
    <n v="150"/>
    <n v="458.79999999999995"/>
    <n v="154.1"/>
    <n v="154.69999999999999"/>
    <n v="306.39999999999998"/>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859.4"/>
    <n v="157"/>
    <n v="186.7"/>
    <n v="619"/>
    <n v="149.1"/>
    <n v="136.6"/>
    <n v="432.9"/>
    <n v="147.19999999999999"/>
    <n v="154.69999999999999"/>
    <n v="295.10000000000002"/>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827.3999999999999"/>
    <n v="154"/>
    <n v="183.5"/>
    <n v="622.79999999999995"/>
    <n v="152.5"/>
    <n v="144.4"/>
    <n v="448.29999999999995"/>
    <n v="151.4"/>
    <n v="154.69999999999999"/>
    <n v="301.10000000000002"/>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808.9"/>
    <n v="152.30000000000001"/>
    <n v="182.4"/>
    <n v="628.9"/>
    <n v="154.69999999999999"/>
    <n v="150"/>
    <n v="458.79999999999995"/>
    <n v="154.1"/>
    <n v="154.69999999999999"/>
    <n v="306.39999999999998"/>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859.4"/>
    <n v="157"/>
    <n v="186.7"/>
    <n v="619"/>
    <n v="149.1"/>
    <n v="136.6"/>
    <n v="432.9"/>
    <n v="147.19999999999999"/>
    <n v="154.69999999999999"/>
    <n v="295.10000000000002"/>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827.3999999999999"/>
    <n v="154"/>
    <n v="183.5"/>
    <n v="622.79999999999995"/>
    <n v="152.5"/>
    <n v="144.4"/>
    <n v="448.29999999999995"/>
    <n v="151.4"/>
    <n v="154.69999999999999"/>
    <n v="301.10000000000002"/>
    <n v="141.9"/>
    <n v="146.4"/>
    <n v="154.4"/>
    <n v="135"/>
    <n v="148.30000000000001"/>
    <n v="156.4"/>
    <n v="151.6"/>
    <n v="147"/>
    <n v="151.80000000000001"/>
  </r>
  <r>
    <x v="0"/>
    <x v="7"/>
    <x v="7"/>
    <n v="147.6"/>
    <n v="187.2"/>
    <n v="148.4"/>
    <n v="153.30000000000001"/>
    <n v="139.80000000000001"/>
    <n v="146.9"/>
    <n v="171"/>
    <n v="149.9"/>
    <n v="114.2"/>
    <n v="160"/>
    <n v="143.5"/>
    <n v="161.5"/>
    <n v="1835.1"/>
    <n v="155.30000000000001"/>
    <n v="180.9"/>
    <n v="630.19999999999993"/>
    <n v="155.1"/>
    <n v="149.30000000000001"/>
    <n v="458.7"/>
    <n v="154.30000000000001"/>
    <n v="155.5"/>
    <n v="307.39999999999998"/>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888.4"/>
    <n v="159.9"/>
    <n v="187.2"/>
    <n v="620.09999999999991"/>
    <n v="150"/>
    <n v="135.19999999999999"/>
    <n v="433"/>
    <n v="147.80000000000001"/>
    <n v="155.5"/>
    <n v="300"/>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854.6000000000001"/>
    <n v="157"/>
    <n v="182.6"/>
    <n v="623.5"/>
    <n v="153.1"/>
    <n v="143.4"/>
    <n v="448.2"/>
    <n v="151.69999999999999"/>
    <n v="155.5"/>
    <n v="303.89999999999998"/>
    <n v="143"/>
    <n v="148.4"/>
    <n v="155"/>
    <n v="138.5"/>
    <n v="146"/>
    <n v="158.5"/>
    <n v="154.30000000000001"/>
    <n v="149"/>
    <n v="153.9"/>
  </r>
  <r>
    <x v="0"/>
    <x v="7"/>
    <x v="8"/>
    <n v="146.9"/>
    <n v="183.9"/>
    <n v="149.5"/>
    <n v="153.4"/>
    <n v="140.4"/>
    <n v="147"/>
    <n v="178.8"/>
    <n v="149.30000000000001"/>
    <n v="115.1"/>
    <n v="160"/>
    <n v="145.4"/>
    <n v="161.6"/>
    <n v="1842.0000000000002"/>
    <n v="156.1"/>
    <n v="182.9"/>
    <n v="638.5"/>
    <n v="155.4"/>
    <n v="149.9"/>
    <n v="459.9"/>
    <n v="154.6"/>
    <n v="156.30000000000001"/>
    <n v="307.89999999999998"/>
    <n v="146.4"/>
    <n v="151.6"/>
    <n v="159.1"/>
    <n v="144.6"/>
    <n v="152.80000000000001"/>
    <n v="161.1"/>
    <n v="157.4"/>
    <n v="153.69999999999999"/>
    <n v="155.4"/>
  </r>
  <r>
    <x v="1"/>
    <x v="7"/>
    <x v="8"/>
    <n v="151.5"/>
    <n v="193.1"/>
    <n v="157.30000000000001"/>
    <n v="153.9"/>
    <n v="134.4"/>
    <n v="155.4"/>
    <n v="202"/>
    <n v="150.80000000000001"/>
    <n v="118.9"/>
    <n v="160.9"/>
    <n v="137.69999999999999"/>
    <n v="164.4"/>
    <n v="1903.8999999999999"/>
    <n v="161.30000000000001"/>
    <n v="188.7"/>
    <n v="628"/>
    <n v="150.19999999999999"/>
    <n v="136.30000000000001"/>
    <n v="434.6"/>
    <n v="148.1"/>
    <n v="156.30000000000001"/>
    <n v="301.70000000000005"/>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864.8"/>
    <n v="158"/>
    <n v="184.4"/>
    <n v="631.6"/>
    <n v="153.4"/>
    <n v="144.30000000000001"/>
    <n v="449.70000000000005"/>
    <n v="152"/>
    <n v="156.30000000000001"/>
    <n v="305"/>
    <n v="142.9"/>
    <n v="148.69999999999999"/>
    <n v="155.6"/>
    <n v="139.6"/>
    <n v="146.6"/>
    <n v="157.5"/>
    <n v="158.4"/>
    <n v="150"/>
    <n v="154.69999999999999"/>
  </r>
  <r>
    <x v="0"/>
    <x v="7"/>
    <x v="9"/>
    <n v="146"/>
    <n v="186.3"/>
    <n v="159.19999999999999"/>
    <n v="153.6"/>
    <n v="142.6"/>
    <n v="147.19999999999999"/>
    <n v="200.6"/>
    <n v="150.30000000000001"/>
    <n v="115.3"/>
    <n v="160.9"/>
    <n v="147.4"/>
    <n v="161.9"/>
    <n v="1883.4999999999998"/>
    <n v="159.6"/>
    <n v="182.7"/>
    <n v="638.70000000000005"/>
    <n v="155.69999999999999"/>
    <n v="150.6"/>
    <n v="461.29999999999995"/>
    <n v="155"/>
    <n v="156.5"/>
    <n v="308.5"/>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941.0000000000002"/>
    <n v="164.4"/>
    <n v="188.7"/>
    <n v="628"/>
    <n v="150.5"/>
    <n v="136.1"/>
    <n v="434.90000000000003"/>
    <n v="148.30000000000001"/>
    <n v="156.5"/>
    <n v="301.60000000000002"/>
    <n v="137.1"/>
    <n v="145.1"/>
    <n v="151"/>
    <n v="135.4"/>
    <n v="142"/>
    <n v="155.69999999999999"/>
    <n v="158.1"/>
    <n v="146.19999999999999"/>
    <n v="155.19999999999999"/>
  </r>
  <r>
    <x v="2"/>
    <x v="7"/>
    <x v="9"/>
    <n v="147.5"/>
    <n v="188.9"/>
    <n v="161.4"/>
    <n v="153.6"/>
    <n v="140.1"/>
    <n v="151.19999999999999"/>
    <n v="209.2"/>
    <n v="150.9"/>
    <n v="116.2"/>
    <n v="161"/>
    <n v="144"/>
    <n v="163.19999999999999"/>
    <n v="1904.6000000000001"/>
    <n v="161.4"/>
    <n v="184.3"/>
    <n v="631.79999999999995"/>
    <n v="153.69999999999999"/>
    <n v="144.6"/>
    <n v="450.59999999999997"/>
    <n v="152.30000000000001"/>
    <n v="156.5"/>
    <n v="305.2"/>
    <n v="143.1"/>
    <n v="148.69999999999999"/>
    <n v="156.30000000000001"/>
    <n v="140.6"/>
    <n v="146.5"/>
    <n v="158.5"/>
    <n v="157"/>
    <n v="150.4"/>
    <n v="156.4"/>
  </r>
  <r>
    <x v="0"/>
    <x v="7"/>
    <x v="10"/>
    <n v="145.4"/>
    <n v="188.6"/>
    <n v="171.6"/>
    <n v="153.80000000000001"/>
    <n v="145.4"/>
    <n v="146.5"/>
    <n v="222.2"/>
    <n v="155.9"/>
    <n v="114.9"/>
    <n v="162"/>
    <n v="150"/>
    <n v="162.69999999999999"/>
    <n v="1932.4"/>
    <n v="163.4"/>
    <n v="183.4"/>
    <n v="643.20000000000005"/>
    <n v="156.30000000000001"/>
    <n v="151"/>
    <n v="462.8"/>
    <n v="155.5"/>
    <n v="158"/>
    <n v="310.8"/>
    <n v="147.5"/>
    <n v="152.80000000000001"/>
    <n v="160.4"/>
    <n v="146.1"/>
    <n v="153.6"/>
    <n v="161.6"/>
    <n v="156.19999999999999"/>
    <n v="154.5"/>
    <n v="159.80000000000001"/>
  </r>
  <r>
    <x v="1"/>
    <x v="7"/>
    <x v="10"/>
    <n v="149.69999999999999"/>
    <n v="195.5"/>
    <n v="176.9"/>
    <n v="153.9"/>
    <n v="138"/>
    <n v="150.5"/>
    <n v="245.3"/>
    <n v="158.69999999999999"/>
    <n v="117.2"/>
    <n v="161.4"/>
    <n v="141.5"/>
    <n v="165.1"/>
    <n v="1979.2000000000003"/>
    <n v="167"/>
    <n v="188.8"/>
    <n v="632.6"/>
    <n v="151.1"/>
    <n v="136.4"/>
    <n v="436.3"/>
    <n v="148.80000000000001"/>
    <n v="158"/>
    <n v="303.10000000000002"/>
    <n v="137.30000000000001"/>
    <n v="145.1"/>
    <n v="152"/>
    <n v="135.19999999999999"/>
    <n v="144.4"/>
    <n v="156.4"/>
    <n v="157.9"/>
    <n v="146.6"/>
    <n v="156.69999999999999"/>
  </r>
  <r>
    <x v="2"/>
    <x v="7"/>
    <x v="10"/>
    <n v="146.80000000000001"/>
    <n v="191"/>
    <n v="173.6"/>
    <n v="153.80000000000001"/>
    <n v="142.69999999999999"/>
    <n v="148.4"/>
    <n v="230"/>
    <n v="156.80000000000001"/>
    <n v="115.7"/>
    <n v="161.80000000000001"/>
    <n v="146.5"/>
    <n v="163.80000000000001"/>
    <n v="1949.1"/>
    <n v="164.7"/>
    <n v="184.8"/>
    <n v="636.6"/>
    <n v="154.30000000000001"/>
    <n v="144.9"/>
    <n v="452.00000000000006"/>
    <n v="152.80000000000001"/>
    <n v="158"/>
    <n v="307.2"/>
    <n v="143.6"/>
    <n v="149.19999999999999"/>
    <n v="157.19999999999999"/>
    <n v="140.4"/>
    <n v="148.4"/>
    <n v="158.6"/>
    <n v="156.9"/>
    <n v="150.69999999999999"/>
    <n v="158.4"/>
  </r>
  <r>
    <x v="0"/>
    <x v="7"/>
    <x v="11"/>
    <n v="144.6"/>
    <n v="188.5"/>
    <n v="173.4"/>
    <n v="154"/>
    <n v="150"/>
    <n v="145.9"/>
    <n v="225.2"/>
    <n v="159.5"/>
    <n v="114.4"/>
    <n v="163.5"/>
    <n v="153.4"/>
    <n v="163.6"/>
    <n v="1947.1"/>
    <n v="164.5"/>
    <n v="183.6"/>
    <n v="647.5"/>
    <n v="157"/>
    <n v="151.6"/>
    <n v="464.90000000000003"/>
    <n v="156.30000000000001"/>
    <n v="158.4"/>
    <n v="311.8"/>
    <n v="148.69999999999999"/>
    <n v="153.4"/>
    <n v="161.6"/>
    <n v="146.4"/>
    <n v="153.9"/>
    <n v="162.9"/>
    <n v="156.6"/>
    <n v="155.19999999999999"/>
    <n v="160.69999999999999"/>
  </r>
  <r>
    <x v="1"/>
    <x v="7"/>
    <x v="11"/>
    <n v="149"/>
    <n v="195.7"/>
    <n v="178.3"/>
    <n v="154.19999999999999"/>
    <n v="140.69999999999999"/>
    <n v="149.69999999999999"/>
    <n v="240.9"/>
    <n v="161.5"/>
    <n v="117.1"/>
    <n v="161.9"/>
    <n v="143.30000000000001"/>
    <n v="166.1"/>
    <n v="1982.1000000000001"/>
    <n v="167"/>
    <n v="190.2"/>
    <n v="635.70000000000005"/>
    <n v="151.9"/>
    <n v="136.69999999999999"/>
    <n v="438.20000000000005"/>
    <n v="149.6"/>
    <n v="158.4"/>
    <n v="303.89999999999998"/>
    <n v="137.9"/>
    <n v="145.5"/>
    <n v="152.9"/>
    <n v="135.5"/>
    <n v="144.30000000000001"/>
    <n v="156.9"/>
    <n v="157.9"/>
    <n v="146.9"/>
    <n v="156.9"/>
  </r>
  <r>
    <x v="2"/>
    <x v="7"/>
    <x v="11"/>
    <n v="146"/>
    <n v="191"/>
    <n v="175.3"/>
    <n v="154.1"/>
    <n v="146.6"/>
    <n v="147.69999999999999"/>
    <n v="230.5"/>
    <n v="160.19999999999999"/>
    <n v="115.3"/>
    <n v="163"/>
    <n v="149.19999999999999"/>
    <n v="164.8"/>
    <n v="1959.8999999999999"/>
    <n v="165.4"/>
    <n v="185.4"/>
    <n v="640.20000000000005"/>
    <n v="155"/>
    <n v="145.4"/>
    <n v="454"/>
    <n v="153.6"/>
    <n v="158.4"/>
    <n v="308.10000000000002"/>
    <n v="144.6"/>
    <n v="149.69999999999999"/>
    <n v="158.30000000000001"/>
    <n v="140.69999999999999"/>
    <n v="148.5"/>
    <n v="159.4"/>
    <n v="157.1"/>
    <n v="151.19999999999999"/>
    <n v="158.9"/>
  </r>
  <r>
    <x v="0"/>
    <x v="8"/>
    <x v="0"/>
    <n v="143.4"/>
    <n v="187.5"/>
    <n v="173.4"/>
    <n v="154"/>
    <n v="154.80000000000001"/>
    <n v="147"/>
    <n v="187.8"/>
    <n v="159.5"/>
    <n v="113.8"/>
    <n v="164.5"/>
    <n v="156.1"/>
    <n v="164.3"/>
    <n v="1909.6000000000001"/>
    <n v="159.6"/>
    <n v="184.6"/>
    <n v="652"/>
    <n v="157.5"/>
    <n v="152.4"/>
    <n v="466.7"/>
    <n v="156.80000000000001"/>
    <n v="157.69999999999999"/>
    <n v="311.60000000000002"/>
    <n v="150.9"/>
    <n v="153.9"/>
    <n v="162.5"/>
    <n v="147.5"/>
    <n v="155.1"/>
    <n v="163.5"/>
    <n v="156.19999999999999"/>
    <n v="155.9"/>
    <n v="158.5"/>
  </r>
  <r>
    <x v="1"/>
    <x v="8"/>
    <x v="0"/>
    <n v="148"/>
    <n v="194.8"/>
    <n v="178.4"/>
    <n v="154.4"/>
    <n v="144.1"/>
    <n v="152.6"/>
    <n v="206.8"/>
    <n v="162.1"/>
    <n v="116.3"/>
    <n v="163"/>
    <n v="145.9"/>
    <n v="167.2"/>
    <n v="1951.1000000000004"/>
    <n v="163.4"/>
    <n v="191.8"/>
    <n v="640.79999999999995"/>
    <n v="152.5"/>
    <n v="137.30000000000001"/>
    <n v="440"/>
    <n v="150.19999999999999"/>
    <n v="157.69999999999999"/>
    <n v="303.39999999999998"/>
    <n v="142.9"/>
    <n v="145.69999999999999"/>
    <n v="154.1"/>
    <n v="136.9"/>
    <n v="145.4"/>
    <n v="156.1"/>
    <n v="157.69999999999999"/>
    <n v="147.6"/>
    <n v="156"/>
  </r>
  <r>
    <x v="2"/>
    <x v="8"/>
    <x v="0"/>
    <n v="144.9"/>
    <n v="190.1"/>
    <n v="175.3"/>
    <n v="154.1"/>
    <n v="150.9"/>
    <n v="149.6"/>
    <n v="194.2"/>
    <n v="160.4"/>
    <n v="114.6"/>
    <n v="164"/>
    <n v="151.80000000000001"/>
    <n v="165.6"/>
    <n v="1924.6999999999998"/>
    <n v="161"/>
    <n v="186.5"/>
    <n v="644.70000000000005"/>
    <n v="155.5"/>
    <n v="146.1"/>
    <n v="455.8"/>
    <n v="154.19999999999999"/>
    <n v="157.69999999999999"/>
    <n v="307.7"/>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865.3000000000002"/>
    <n v="154.69999999999999"/>
    <n v="186.5"/>
    <n v="658.7"/>
    <n v="159.1"/>
    <n v="153.9"/>
    <n v="471.4"/>
    <n v="158.4"/>
    <n v="159.80000000000001"/>
    <n v="314.60000000000002"/>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916.8"/>
    <n v="160.80000000000001"/>
    <n v="193.3"/>
    <n v="646.5"/>
    <n v="154.19999999999999"/>
    <n v="138.19999999999999"/>
    <n v="444.2"/>
    <n v="151.80000000000001"/>
    <n v="159.80000000000001"/>
    <n v="306.3"/>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883.8000000000002"/>
    <n v="156.9"/>
    <n v="188.3"/>
    <n v="651.1"/>
    <n v="157.19999999999999"/>
    <n v="147.4"/>
    <n v="460.40000000000003"/>
    <n v="155.80000000000001"/>
    <n v="159.80000000000001"/>
    <n v="310.70000000000005"/>
    <n v="152.4"/>
    <n v="150.9"/>
    <n v="161.30000000000001"/>
    <n v="145.1"/>
    <n v="151.5"/>
    <n v="159.5"/>
    <n v="155.80000000000001"/>
    <n v="153.4"/>
    <n v="156.6"/>
  </r>
  <r>
    <x v="0"/>
    <x v="8"/>
    <x v="2"/>
    <n v="142.5"/>
    <n v="189.4"/>
    <n v="163.19999999999999"/>
    <n v="154.5"/>
    <n v="168.2"/>
    <n v="150.5"/>
    <n v="141"/>
    <n v="159.19999999999999"/>
    <n v="111.7"/>
    <n v="164"/>
    <n v="160.6"/>
    <n v="166.4"/>
    <n v="1865.1000000000001"/>
    <n v="154.5"/>
    <n v="186.1"/>
    <n v="657.6"/>
    <n v="159.6"/>
    <n v="154.4"/>
    <n v="472.9"/>
    <n v="158.9"/>
    <n v="159.9"/>
    <n v="314.70000000000005"/>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913.8000000000002"/>
    <n v="160.4"/>
    <n v="193.5"/>
    <n v="647.69999999999993"/>
    <n v="155.1"/>
    <n v="138.69999999999999"/>
    <n v="446.4"/>
    <n v="152.6"/>
    <n v="159.9"/>
    <n v="307.10000000000002"/>
    <n v="154.80000000000001"/>
    <n v="147.19999999999999"/>
    <n v="156.9"/>
    <n v="141.69999999999999"/>
    <n v="148.6"/>
    <n v="157.6"/>
    <n v="154.9"/>
    <n v="150"/>
    <n v="156.9"/>
  </r>
  <r>
    <x v="2"/>
    <x v="8"/>
    <x v="2"/>
    <n v="144.1"/>
    <n v="192.2"/>
    <n v="163.80000000000001"/>
    <n v="154.9"/>
    <n v="163.9"/>
    <n v="153.69999999999999"/>
    <n v="149.5"/>
    <n v="159.80000000000001"/>
    <n v="112.6"/>
    <n v="163.5"/>
    <n v="156.5"/>
    <n v="168.2"/>
    <n v="1882.9"/>
    <n v="156.69999999999999"/>
    <n v="188.1"/>
    <n v="651"/>
    <n v="157.80000000000001"/>
    <n v="147.9"/>
    <n v="462.1"/>
    <n v="156.4"/>
    <n v="159.9"/>
    <n v="311.10000000000002"/>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887.6000000000001"/>
    <n v="155.6"/>
    <n v="186.8"/>
    <n v="661.90000000000009"/>
    <n v="160.69999999999999"/>
    <n v="155.1"/>
    <n v="475.69999999999993"/>
    <n v="159.9"/>
    <n v="161.4"/>
    <n v="316.89999999999998"/>
    <n v="156"/>
    <n v="155.5"/>
    <n v="165.3"/>
    <n v="151.69999999999999"/>
    <n v="158.6"/>
    <n v="164.1"/>
    <n v="154.6"/>
    <n v="158"/>
    <n v="157.6"/>
  </r>
  <r>
    <x v="1"/>
    <x v="8"/>
    <x v="3"/>
    <n v="147.6"/>
    <n v="202.5"/>
    <n v="166.4"/>
    <n v="156"/>
    <n v="161.4"/>
    <n v="168.8"/>
    <n v="161.6"/>
    <n v="162.80000000000001"/>
    <n v="114.8"/>
    <n v="162.80000000000001"/>
    <n v="151.5"/>
    <n v="171.4"/>
    <n v="1938.1000000000001"/>
    <n v="162"/>
    <n v="194.4"/>
    <n v="651.6"/>
    <n v="155.9"/>
    <n v="139.30000000000001"/>
    <n v="448.6"/>
    <n v="153.4"/>
    <n v="161.4"/>
    <n v="309"/>
    <n v="154.9"/>
    <n v="147.6"/>
    <n v="157.5"/>
    <n v="142.1"/>
    <n v="149.1"/>
    <n v="157.6"/>
    <n v="156.6"/>
    <n v="150.5"/>
    <n v="158"/>
  </r>
  <r>
    <x v="2"/>
    <x v="8"/>
    <x v="3"/>
    <n v="144.30000000000001"/>
    <n v="198"/>
    <n v="164.6"/>
    <n v="155.4"/>
    <n v="170.1"/>
    <n v="164.4"/>
    <n v="144.1"/>
    <n v="161.69999999999999"/>
    <n v="113.1"/>
    <n v="163.9"/>
    <n v="157.6"/>
    <n v="168.9"/>
    <n v="1906.4999999999998"/>
    <n v="158"/>
    <n v="188.8"/>
    <n v="655"/>
    <n v="158.80000000000001"/>
    <n v="148.5"/>
    <n v="464.6"/>
    <n v="157.30000000000001"/>
    <n v="161.4"/>
    <n v="313.20000000000005"/>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930.6999999999998"/>
    <n v="158.69999999999999"/>
    <n v="189.6"/>
    <n v="673.5"/>
    <n v="165.3"/>
    <n v="160.6"/>
    <n v="490.4"/>
    <n v="164.5"/>
    <n v="161.6"/>
    <n v="320.39999999999998"/>
    <n v="161.69999999999999"/>
    <n v="158.80000000000001"/>
    <n v="169.1"/>
    <n v="153.19999999999999"/>
    <n v="160"/>
    <n v="167.6"/>
    <n v="159.30000000000001"/>
    <n v="161.1"/>
    <n v="161.1"/>
  </r>
  <r>
    <x v="1"/>
    <x v="8"/>
    <x v="4"/>
    <n v="148.80000000000001"/>
    <n v="204.3"/>
    <n v="173"/>
    <n v="156.5"/>
    <n v="168.8"/>
    <n v="172.5"/>
    <n v="166.5"/>
    <n v="165.9"/>
    <n v="115.9"/>
    <n v="165.2"/>
    <n v="152"/>
    <n v="171.1"/>
    <n v="1972.6999999999998"/>
    <n v="164.2"/>
    <n v="198.2"/>
    <n v="660.3"/>
    <n v="156.5"/>
    <n v="140.19999999999999"/>
    <n v="450.79999999999995"/>
    <n v="154.1"/>
    <n v="161.6"/>
    <n v="311.7"/>
    <n v="155.5"/>
    <n v="150.1"/>
    <n v="160.4"/>
    <n v="145"/>
    <n v="152.6"/>
    <n v="156.6"/>
    <n v="157.5"/>
    <n v="152.30000000000001"/>
    <n v="159.5"/>
  </r>
  <r>
    <x v="2"/>
    <x v="8"/>
    <x v="4"/>
    <n v="146.30000000000001"/>
    <n v="200.5"/>
    <n v="170.3"/>
    <n v="156.1"/>
    <n v="178.7"/>
    <n v="167.1"/>
    <n v="147.9"/>
    <n v="165.4"/>
    <n v="114.8"/>
    <n v="168.2"/>
    <n v="159.30000000000001"/>
    <n v="170.4"/>
    <n v="1946.3999999999999"/>
    <n v="160.69999999999999"/>
    <n v="191.9"/>
    <n v="665.6"/>
    <n v="161.80000000000001"/>
    <n v="152.1"/>
    <n v="474.29999999999995"/>
    <n v="160.4"/>
    <n v="161.6"/>
    <n v="316.29999999999995"/>
    <n v="159.4"/>
    <n v="154.69999999999999"/>
    <n v="165.8"/>
    <n v="148.9"/>
    <n v="155.80000000000001"/>
    <n v="161.19999999999999"/>
    <n v="158.6"/>
    <n v="156.80000000000001"/>
    <n v="160.4"/>
  </r>
  <r>
    <x v="0"/>
    <x v="8"/>
    <x v="5"/>
    <n v="145.6"/>
    <n v="200.1"/>
    <n v="179.3"/>
    <n v="156.1"/>
    <n v="190.4"/>
    <n v="158.6"/>
    <n v="144.69999999999999"/>
    <n v="165.5"/>
    <n v="114.6"/>
    <n v="170"/>
    <n v="165.5"/>
    <n v="171.7"/>
    <n v="1957.0999999999997"/>
    <n v="160.5"/>
    <n v="189.1"/>
    <n v="674.4"/>
    <n v="165.3"/>
    <n v="159.9"/>
    <n v="489.80000000000007"/>
    <n v="164.6"/>
    <n v="160.5"/>
    <n v="319.7"/>
    <n v="162.1"/>
    <n v="159.19999999999999"/>
    <n v="169.7"/>
    <n v="154.19999999999999"/>
    <n v="160.4"/>
    <n v="166.8"/>
    <n v="159.4"/>
    <n v="161.5"/>
    <n v="162.1"/>
  </r>
  <r>
    <x v="1"/>
    <x v="8"/>
    <x v="5"/>
    <n v="149.19999999999999"/>
    <n v="205.5"/>
    <n v="182.8"/>
    <n v="156.5"/>
    <n v="172.2"/>
    <n v="171.5"/>
    <n v="176.2"/>
    <n v="166.9"/>
    <n v="116.1"/>
    <n v="165.5"/>
    <n v="152.30000000000001"/>
    <n v="173.3"/>
    <n v="2001.9"/>
    <n v="166.2"/>
    <n v="195.6"/>
    <n v="656.59999999999991"/>
    <n v="157.30000000000001"/>
    <n v="140.5"/>
    <n v="452.6"/>
    <n v="154.80000000000001"/>
    <n v="160.5"/>
    <n v="310.3"/>
    <n v="156.1"/>
    <n v="149.80000000000001"/>
    <n v="160.80000000000001"/>
    <n v="147.5"/>
    <n v="150.69999999999999"/>
    <n v="158.1"/>
    <n v="158"/>
    <n v="153.4"/>
    <n v="160.4"/>
  </r>
  <r>
    <x v="2"/>
    <x v="8"/>
    <x v="5"/>
    <n v="146.69999999999999"/>
    <n v="202"/>
    <n v="180.7"/>
    <n v="156.19999999999999"/>
    <n v="183.7"/>
    <n v="164.6"/>
    <n v="155.4"/>
    <n v="166"/>
    <n v="115.1"/>
    <n v="168.5"/>
    <n v="160"/>
    <n v="172.4"/>
    <n v="1973.9"/>
    <n v="162.6"/>
    <n v="190.8"/>
    <n v="664.5"/>
    <n v="162.19999999999999"/>
    <n v="151.80000000000001"/>
    <n v="474.7"/>
    <n v="160.69999999999999"/>
    <n v="160.5"/>
    <n v="315.3"/>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966.2"/>
    <n v="161.69999999999999"/>
    <n v="189.7"/>
    <n v="676.99999999999989"/>
    <n v="166"/>
    <n v="161.1"/>
    <n v="492.40000000000003"/>
    <n v="165.3"/>
    <n v="161.5"/>
    <n v="321.8"/>
    <n v="162.5"/>
    <n v="160.30000000000001"/>
    <n v="170.4"/>
    <n v="157.1"/>
    <n v="160.69999999999999"/>
    <n v="167.2"/>
    <n v="160.4"/>
    <n v="162.80000000000001"/>
    <n v="163.19999999999999"/>
  </r>
  <r>
    <x v="1"/>
    <x v="8"/>
    <x v="6"/>
    <n v="149.1"/>
    <n v="210.9"/>
    <n v="185"/>
    <n v="158.19999999999999"/>
    <n v="170.6"/>
    <n v="170.9"/>
    <n v="186.4"/>
    <n v="164.7"/>
    <n v="115.7"/>
    <n v="165.5"/>
    <n v="153.4"/>
    <n v="173.5"/>
    <n v="2018.4"/>
    <n v="167.9"/>
    <n v="195.5"/>
    <n v="659.69999999999993"/>
    <n v="157.9"/>
    <n v="141.9"/>
    <n v="455.3"/>
    <n v="155.5"/>
    <n v="161.5"/>
    <n v="312.2"/>
    <n v="157.69999999999999"/>
    <n v="150.69999999999999"/>
    <n v="161.5"/>
    <n v="149.5"/>
    <n v="151.19999999999999"/>
    <n v="160.30000000000001"/>
    <n v="159.6"/>
    <n v="155"/>
    <n v="161.80000000000001"/>
  </r>
  <r>
    <x v="2"/>
    <x v="8"/>
    <x v="6"/>
    <n v="146.4"/>
    <n v="206.8"/>
    <n v="182.2"/>
    <n v="157.5"/>
    <n v="182.1"/>
    <n v="163.9"/>
    <n v="164.2"/>
    <n v="164"/>
    <n v="114.5"/>
    <n v="168.3"/>
    <n v="160.9"/>
    <n v="172.2"/>
    <n v="1986.1000000000001"/>
    <n v="164"/>
    <n v="191.2"/>
    <n v="667.5"/>
    <n v="162.80000000000001"/>
    <n v="153.1"/>
    <n v="477.29999999999995"/>
    <n v="161.4"/>
    <n v="161.5"/>
    <n v="317.3"/>
    <n v="160.69999999999999"/>
    <n v="155.80000000000001"/>
    <n v="167"/>
    <n v="153.1"/>
    <n v="155.30000000000001"/>
    <n v="163.19999999999999"/>
    <n v="160.1"/>
    <n v="159"/>
    <n v="162.5"/>
  </r>
  <r>
    <x v="0"/>
    <x v="8"/>
    <x v="7"/>
    <n v="144.9"/>
    <n v="202.3"/>
    <n v="176.5"/>
    <n v="157.5"/>
    <n v="190.9"/>
    <n v="155.69999999999999"/>
    <n v="153.9"/>
    <n v="162.80000000000001"/>
    <n v="115.2"/>
    <n v="169.8"/>
    <n v="167.6"/>
    <n v="171.9"/>
    <n v="1963.2"/>
    <n v="161.80000000000001"/>
    <n v="190.2"/>
    <n v="679.2"/>
    <n v="167"/>
    <n v="162.6"/>
    <n v="495.90000000000003"/>
    <n v="166.3"/>
    <n v="162.1"/>
    <n v="323"/>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2003.1"/>
    <n v="167.3"/>
    <n v="196.5"/>
    <n v="664.6"/>
    <n v="159.80000000000001"/>
    <n v="143.6"/>
    <n v="460.7"/>
    <n v="157.30000000000001"/>
    <n v="162.1"/>
    <n v="315.29999999999995"/>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979.3"/>
    <n v="164"/>
    <n v="192.1"/>
    <n v="672.4"/>
    <n v="164.5"/>
    <n v="155.30000000000001"/>
    <n v="483"/>
    <n v="163.19999999999999"/>
    <n v="162.1"/>
    <n v="319.60000000000002"/>
    <n v="162.6"/>
    <n v="157.5"/>
    <n v="168.4"/>
    <n v="154"/>
    <n v="157.6"/>
    <n v="163.80000000000001"/>
    <n v="160"/>
    <n v="160"/>
    <n v="163.19999999999999"/>
  </r>
  <r>
    <x v="0"/>
    <x v="8"/>
    <x v="8"/>
    <n v="145.4"/>
    <n v="202.1"/>
    <n v="172"/>
    <n v="158"/>
    <n v="195.5"/>
    <n v="152.69999999999999"/>
    <n v="151.4"/>
    <n v="163.9"/>
    <n v="119.3"/>
    <n v="170.1"/>
    <n v="168.3"/>
    <n v="172.8"/>
    <n v="1965.3"/>
    <n v="162.1"/>
    <n v="190.5"/>
    <n v="681.7"/>
    <n v="167.7"/>
    <n v="163.6"/>
    <n v="498.4"/>
    <n v="167.1"/>
    <n v="162.1"/>
    <n v="323.39999999999998"/>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2003.0999999999997"/>
    <n v="167.3"/>
    <n v="196.5"/>
    <n v="664.80000000000007"/>
    <n v="159.80000000000001"/>
    <n v="143.6"/>
    <n v="460.79999999999995"/>
    <n v="157.4"/>
    <n v="162.1"/>
    <n v="315.39999999999998"/>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979.3"/>
    <n v="164"/>
    <n v="192.1"/>
    <n v="672.5"/>
    <n v="164.6"/>
    <n v="155.30000000000001"/>
    <n v="483.2"/>
    <n v="163.30000000000001"/>
    <n v="162.1"/>
    <n v="319.60000000000002"/>
    <n v="162.6"/>
    <n v="157.5"/>
    <n v="168.4"/>
    <n v="154"/>
    <n v="157.69999999999999"/>
    <n v="163.69999999999999"/>
    <n v="160"/>
    <n v="160"/>
    <n v="163.19999999999999"/>
  </r>
  <r>
    <x v="0"/>
    <x v="8"/>
    <x v="9"/>
    <n v="146.1"/>
    <n v="202.5"/>
    <n v="170.1"/>
    <n v="158.4"/>
    <n v="198.8"/>
    <n v="152.6"/>
    <n v="170.4"/>
    <n v="165.2"/>
    <n v="121.6"/>
    <n v="170.6"/>
    <n v="168.8"/>
    <n v="173.6"/>
    <n v="1995.3999999999999"/>
    <n v="165.5"/>
    <n v="191.2"/>
    <n v="684.30000000000007"/>
    <n v="168.9"/>
    <n v="164.8"/>
    <n v="502.00000000000006"/>
    <n v="168.3"/>
    <n v="163.6"/>
    <n v="325.60000000000002"/>
    <n v="165.5"/>
    <n v="162"/>
    <n v="172.5"/>
    <n v="159.5"/>
    <n v="163.19999999999999"/>
    <n v="169"/>
    <n v="161.1"/>
    <n v="164.7"/>
    <n v="166.3"/>
  </r>
  <r>
    <x v="1"/>
    <x v="8"/>
    <x v="9"/>
    <n v="150.1"/>
    <n v="208.4"/>
    <n v="173"/>
    <n v="159.19999999999999"/>
    <n v="176.6"/>
    <n v="159.30000000000001"/>
    <n v="214.4"/>
    <n v="165.3"/>
    <n v="122.5"/>
    <n v="166.8"/>
    <n v="155.4"/>
    <n v="175.9"/>
    <n v="2043"/>
    <n v="171.5"/>
    <n v="197"/>
    <n v="667.8"/>
    <n v="160.80000000000001"/>
    <n v="144.4"/>
    <n v="463.50000000000006"/>
    <n v="158.30000000000001"/>
    <n v="163.6"/>
    <n v="317.89999999999998"/>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2012.3"/>
    <n v="167.7"/>
    <n v="192.7"/>
    <n v="675.3"/>
    <n v="165.7"/>
    <n v="156.30000000000001"/>
    <n v="486.3"/>
    <n v="164.3"/>
    <n v="163.6"/>
    <n v="322"/>
    <n v="164.2"/>
    <n v="158.4"/>
    <n v="169.1"/>
    <n v="155.69999999999999"/>
    <n v="158.6"/>
    <n v="163.9"/>
    <n v="160.80000000000001"/>
    <n v="161"/>
    <n v="165.5"/>
  </r>
  <r>
    <x v="0"/>
    <x v="8"/>
    <x v="10"/>
    <n v="146.9"/>
    <n v="199.8"/>
    <n v="171.5"/>
    <n v="159.1"/>
    <n v="198.4"/>
    <n v="153.19999999999999"/>
    <n v="183.9"/>
    <n v="165.4"/>
    <n v="122.1"/>
    <n v="170.8"/>
    <n v="169.1"/>
    <n v="174.3"/>
    <n v="2012.9"/>
    <n v="167.5"/>
    <n v="191.4"/>
    <n v="686.69999999999993"/>
    <n v="170.4"/>
    <n v="166"/>
    <n v="506.2"/>
    <n v="169.8"/>
    <n v="164.2"/>
    <n v="327.10000000000002"/>
    <n v="165.3"/>
    <n v="162.9"/>
    <n v="173.4"/>
    <n v="158.9"/>
    <n v="163.80000000000001"/>
    <n v="169.3"/>
    <n v="162.4"/>
    <n v="165.2"/>
    <n v="167.6"/>
  </r>
  <r>
    <x v="1"/>
    <x v="8"/>
    <x v="10"/>
    <n v="151"/>
    <n v="204.9"/>
    <n v="175.4"/>
    <n v="159.6"/>
    <n v="175.8"/>
    <n v="160.30000000000001"/>
    <n v="229.1"/>
    <n v="165.1"/>
    <n v="123.1"/>
    <n v="167.2"/>
    <n v="156.1"/>
    <n v="176.8"/>
    <n v="2061.8000000000002"/>
    <n v="173.5"/>
    <n v="197"/>
    <n v="671.6"/>
    <n v="162.30000000000001"/>
    <n v="145.30000000000001"/>
    <n v="467.3"/>
    <n v="159.69999999999999"/>
    <n v="164.2"/>
    <n v="319.39999999999998"/>
    <n v="161.6"/>
    <n v="155.19999999999999"/>
    <n v="164.2"/>
    <n v="151.19999999999999"/>
    <n v="156.69999999999999"/>
    <n v="160.80000000000001"/>
    <n v="161.80000000000001"/>
    <n v="157.30000000000001"/>
    <n v="165.6"/>
  </r>
  <r>
    <x v="2"/>
    <x v="8"/>
    <x v="10"/>
    <n v="148.19999999999999"/>
    <n v="201.6"/>
    <n v="173"/>
    <n v="159.30000000000001"/>
    <n v="190.1"/>
    <n v="156.5"/>
    <n v="199.2"/>
    <n v="165.3"/>
    <n v="122.4"/>
    <n v="169.6"/>
    <n v="163.69999999999999"/>
    <n v="175.5"/>
    <n v="2030.3999999999999"/>
    <n v="169.7"/>
    <n v="192.9"/>
    <n v="678.60000000000014"/>
    <n v="167.2"/>
    <n v="157.4"/>
    <n v="490.40000000000003"/>
    <n v="165.8"/>
    <n v="164.2"/>
    <n v="323.5"/>
    <n v="163.9"/>
    <n v="159.30000000000001"/>
    <n v="169.9"/>
    <n v="154.80000000000001"/>
    <n v="159.80000000000001"/>
    <n v="164.3"/>
    <n v="162.19999999999999"/>
    <n v="161.4"/>
    <n v="166.7"/>
  </r>
  <r>
    <x v="0"/>
    <x v="8"/>
    <x v="11"/>
    <n v="147.4"/>
    <n v="197"/>
    <n v="176.5"/>
    <n v="159.80000000000001"/>
    <n v="195.8"/>
    <n v="152"/>
    <n v="172.3"/>
    <n v="164.5"/>
    <n v="120.6"/>
    <n v="171.7"/>
    <n v="169.7"/>
    <n v="175.1"/>
    <n v="1998.5"/>
    <n v="165.8"/>
    <n v="190.8"/>
    <n v="687.8"/>
    <n v="171.8"/>
    <n v="167.3"/>
    <n v="510.3"/>
    <n v="171.2"/>
    <n v="163.4"/>
    <n v="327.3"/>
    <n v="165.6"/>
    <n v="163.9"/>
    <n v="174"/>
    <n v="160.1"/>
    <n v="164.5"/>
    <n v="169.7"/>
    <n v="162.80000000000001"/>
    <n v="166"/>
    <n v="167"/>
  </r>
  <r>
    <x v="1"/>
    <x v="8"/>
    <x v="11"/>
    <n v="151.6"/>
    <n v="202.2"/>
    <n v="180"/>
    <n v="160"/>
    <n v="173.5"/>
    <n v="158.30000000000001"/>
    <n v="219.5"/>
    <n v="164.2"/>
    <n v="121.9"/>
    <n v="168.2"/>
    <n v="156.5"/>
    <n v="178.2"/>
    <n v="2049.7999999999997"/>
    <n v="172.2"/>
    <n v="196.8"/>
    <n v="673.3"/>
    <n v="163.30000000000001"/>
    <n v="146.69999999999999"/>
    <n v="470.7"/>
    <n v="160.69999999999999"/>
    <n v="163.4"/>
    <n v="319.39999999999998"/>
    <n v="161.69999999999999"/>
    <n v="156"/>
    <n v="165.1"/>
    <n v="151.80000000000001"/>
    <n v="157.6"/>
    <n v="160.6"/>
    <n v="162.4"/>
    <n v="157.80000000000001"/>
    <n v="165.2"/>
  </r>
  <r>
    <x v="2"/>
    <x v="8"/>
    <x v="11"/>
    <n v="148.69999999999999"/>
    <n v="198.8"/>
    <n v="177.9"/>
    <n v="159.9"/>
    <n v="187.6"/>
    <n v="154.9"/>
    <n v="188.3"/>
    <n v="164.4"/>
    <n v="121"/>
    <n v="170.5"/>
    <n v="164.2"/>
    <n v="176.5"/>
    <n v="2016.7000000000003"/>
    <n v="168.2"/>
    <n v="192.4"/>
    <n v="679.80000000000007"/>
    <n v="168.5"/>
    <n v="158.69999999999999"/>
    <n v="494.2"/>
    <n v="167"/>
    <n v="163.4"/>
    <n v="323.60000000000002"/>
    <n v="164.1"/>
    <n v="160.19999999999999"/>
    <n v="170.6"/>
    <n v="155.69999999999999"/>
    <n v="160.6"/>
    <n v="164.4"/>
    <n v="162.6"/>
    <n v="162"/>
    <n v="166.2"/>
  </r>
  <r>
    <x v="0"/>
    <x v="9"/>
    <x v="0"/>
    <n v="148.30000000000001"/>
    <n v="196.9"/>
    <n v="178"/>
    <n v="160.5"/>
    <n v="192.6"/>
    <n v="151.19999999999999"/>
    <n v="159.19999999999999"/>
    <n v="164"/>
    <n v="119.3"/>
    <n v="173.3"/>
    <n v="169.8"/>
    <n v="175.8"/>
    <n v="1983.2"/>
    <n v="164.1"/>
    <n v="190.7"/>
    <n v="688.59999999999991"/>
    <n v="173.2"/>
    <n v="169.3"/>
    <n v="515.20000000000005"/>
    <n v="172.7"/>
    <n v="164.5"/>
    <n v="329.4"/>
    <n v="165.8"/>
    <n v="164.9"/>
    <n v="174.7"/>
    <n v="160.80000000000001"/>
    <n v="164.9"/>
    <n v="169.9"/>
    <n v="163.19999999999999"/>
    <n v="166.6"/>
    <n v="166.4"/>
  </r>
  <r>
    <x v="1"/>
    <x v="9"/>
    <x v="0"/>
    <n v="152.19999999999999"/>
    <n v="202.1"/>
    <n v="180.1"/>
    <n v="160.4"/>
    <n v="171"/>
    <n v="156.5"/>
    <n v="203.6"/>
    <n v="163.80000000000001"/>
    <n v="121.3"/>
    <n v="169.8"/>
    <n v="156.6"/>
    <n v="179"/>
    <n v="2030.1"/>
    <n v="170.3"/>
    <n v="196.4"/>
    <n v="674.2"/>
    <n v="164.7"/>
    <n v="148.5"/>
    <n v="475.4"/>
    <n v="162.19999999999999"/>
    <n v="164.5"/>
    <n v="321.3"/>
    <n v="161.6"/>
    <n v="156.80000000000001"/>
    <n v="166.1"/>
    <n v="152.69999999999999"/>
    <n v="158.4"/>
    <n v="161"/>
    <n v="162.80000000000001"/>
    <n v="158.6"/>
    <n v="165"/>
  </r>
  <r>
    <x v="2"/>
    <x v="9"/>
    <x v="0"/>
    <n v="149.5"/>
    <n v="198.7"/>
    <n v="178.8"/>
    <n v="160.5"/>
    <n v="184.7"/>
    <n v="153.69999999999999"/>
    <n v="174.3"/>
    <n v="163.9"/>
    <n v="120"/>
    <n v="172.1"/>
    <n v="164.3"/>
    <n v="177.3"/>
    <n v="1999.9"/>
    <n v="166.4"/>
    <n v="192.2"/>
    <n v="680.7"/>
    <n v="169.9"/>
    <n v="160.69999999999999"/>
    <n v="499.1"/>
    <n v="168.5"/>
    <n v="164.5"/>
    <n v="325.60000000000002"/>
    <n v="164.2"/>
    <n v="161.1"/>
    <n v="171.4"/>
    <n v="156.5"/>
    <n v="161.19999999999999"/>
    <n v="164.7"/>
    <n v="163"/>
    <n v="162.69999999999999"/>
    <n v="165.7"/>
  </r>
  <r>
    <x v="0"/>
    <x v="9"/>
    <x v="1"/>
    <n v="148.80000000000001"/>
    <n v="198.1"/>
    <n v="175.5"/>
    <n v="160.69999999999999"/>
    <n v="192.6"/>
    <n v="151.4"/>
    <n v="155.19999999999999"/>
    <n v="163.9"/>
    <n v="118.1"/>
    <n v="175.4"/>
    <n v="170.5"/>
    <n v="176.3"/>
    <n v="1979.9"/>
    <n v="163.9"/>
    <n v="191.5"/>
    <n v="692"/>
    <n v="174.1"/>
    <n v="171"/>
    <n v="518.79999999999995"/>
    <n v="173.7"/>
    <n v="165.5"/>
    <n v="331.2"/>
    <n v="167.4"/>
    <n v="165.7"/>
    <n v="175.3"/>
    <n v="161.19999999999999"/>
    <n v="165.5"/>
    <n v="170.3"/>
    <n v="164.5"/>
    <n v="167.3"/>
    <n v="166.7"/>
  </r>
  <r>
    <x v="1"/>
    <x v="9"/>
    <x v="1"/>
    <n v="152.5"/>
    <n v="205.2"/>
    <n v="176.4"/>
    <n v="160.6"/>
    <n v="171.5"/>
    <n v="156.4"/>
    <n v="198"/>
    <n v="163.19999999999999"/>
    <n v="120.6"/>
    <n v="172.2"/>
    <n v="156.69999999999999"/>
    <n v="180"/>
    <n v="2026.8000000000002"/>
    <n v="170.2"/>
    <n v="196.5"/>
    <n v="676.90000000000009"/>
    <n v="165.7"/>
    <n v="150.4"/>
    <n v="479.5"/>
    <n v="163.4"/>
    <n v="165.5"/>
    <n v="322.89999999999998"/>
    <n v="163"/>
    <n v="157.4"/>
    <n v="167.2"/>
    <n v="153.1"/>
    <n v="159.5"/>
    <n v="162"/>
    <n v="164.2"/>
    <n v="159.4"/>
    <n v="165.5"/>
  </r>
  <r>
    <x v="2"/>
    <x v="9"/>
    <x v="1"/>
    <n v="150"/>
    <n v="200.6"/>
    <n v="175.8"/>
    <n v="160.69999999999999"/>
    <n v="184.9"/>
    <n v="153.69999999999999"/>
    <n v="169.7"/>
    <n v="163.69999999999999"/>
    <n v="118.9"/>
    <n v="174.3"/>
    <n v="164.7"/>
    <n v="178"/>
    <n v="1996.5000000000002"/>
    <n v="166.2"/>
    <n v="192.8"/>
    <n v="684"/>
    <n v="170.8"/>
    <n v="162.4"/>
    <n v="502.80000000000007"/>
    <n v="169.6"/>
    <n v="165.5"/>
    <n v="327.3"/>
    <n v="165.7"/>
    <n v="161.80000000000001"/>
    <n v="172.2"/>
    <n v="156.9"/>
    <n v="162.1"/>
    <n v="165.4"/>
    <n v="164.4"/>
    <n v="163.5"/>
    <n v="166.1"/>
  </r>
  <r>
    <x v="0"/>
    <x v="9"/>
    <x v="2"/>
    <n v="150.19999999999999"/>
    <n v="208"/>
    <n v="167.9"/>
    <n v="162"/>
    <n v="203.1"/>
    <n v="155.9"/>
    <n v="155.80000000000001"/>
    <n v="164.2"/>
    <n v="118.1"/>
    <n v="178.7"/>
    <n v="171.2"/>
    <n v="177.4"/>
    <n v="2007.9"/>
    <n v="166.6"/>
    <n v="192.3"/>
    <n v="697.5"/>
    <n v="175.4"/>
    <n v="173.2"/>
    <n v="523.70000000000005"/>
    <n v="175.1"/>
    <n v="165.3"/>
    <n v="331.8"/>
    <n v="168.9"/>
    <n v="166.5"/>
    <n v="176"/>
    <n v="162"/>
    <n v="166.6"/>
    <n v="170.6"/>
    <n v="167.4"/>
    <n v="168.3"/>
    <n v="168.7"/>
  </r>
  <r>
    <x v="1"/>
    <x v="9"/>
    <x v="2"/>
    <n v="153.69999999999999"/>
    <n v="215.8"/>
    <n v="167.7"/>
    <n v="162.6"/>
    <n v="180"/>
    <n v="159.6"/>
    <n v="188.4"/>
    <n v="163.4"/>
    <n v="120.3"/>
    <n v="174.7"/>
    <n v="157.1"/>
    <n v="181.5"/>
    <n v="2039.2"/>
    <n v="171.5"/>
    <n v="197.5"/>
    <n v="682.2"/>
    <n v="167.1"/>
    <n v="152.6"/>
    <n v="484.6"/>
    <n v="164.9"/>
    <n v="165.3"/>
    <n v="323.89999999999998"/>
    <n v="164.5"/>
    <n v="158.6"/>
    <n v="168.2"/>
    <n v="154.19999999999999"/>
    <n v="160.80000000000001"/>
    <n v="162.69999999999999"/>
    <n v="166.8"/>
    <n v="160.6"/>
    <n v="166.5"/>
  </r>
  <r>
    <x v="2"/>
    <x v="9"/>
    <x v="2"/>
    <n v="151.30000000000001"/>
    <n v="210.7"/>
    <n v="167.8"/>
    <n v="162.19999999999999"/>
    <n v="194.6"/>
    <n v="157.6"/>
    <n v="166.9"/>
    <n v="163.9"/>
    <n v="118.8"/>
    <n v="177.4"/>
    <n v="165.3"/>
    <n v="179.3"/>
    <n v="2018.9"/>
    <n v="168.4"/>
    <n v="193.7"/>
    <n v="689.5"/>
    <n v="172.1"/>
    <n v="164.6"/>
    <n v="507.79999999999995"/>
    <n v="171.1"/>
    <n v="165.3"/>
    <n v="328.1"/>
    <n v="167.2"/>
    <n v="162.80000000000001"/>
    <n v="173"/>
    <n v="157.9"/>
    <n v="163.30000000000001"/>
    <n v="166"/>
    <n v="167.2"/>
    <n v="164.6"/>
    <n v="167.7"/>
  </r>
  <r>
    <x v="0"/>
    <x v="9"/>
    <x v="3"/>
    <n v="151.80000000000001"/>
    <n v="209.7"/>
    <n v="164.5"/>
    <n v="163.80000000000001"/>
    <n v="207.4"/>
    <n v="169.7"/>
    <n v="153.6"/>
    <n v="165.1"/>
    <n v="118.2"/>
    <n v="182.9"/>
    <n v="172.4"/>
    <n v="178.9"/>
    <n v="2034.2"/>
    <n v="168.6"/>
    <n v="192.8"/>
    <n v="701.40000000000009"/>
    <n v="177.5"/>
    <n v="175.1"/>
    <n v="529.70000000000005"/>
    <n v="177.1"/>
    <n v="167"/>
    <n v="334.7"/>
    <n v="173.3"/>
    <n v="167.7"/>
    <n v="177"/>
    <n v="166.2"/>
    <n v="167.2"/>
    <n v="170.9"/>
    <n v="169"/>
    <n v="170.2"/>
    <n v="170.8"/>
  </r>
  <r>
    <x v="1"/>
    <x v="9"/>
    <x v="3"/>
    <n v="155.4"/>
    <n v="215.8"/>
    <n v="164.6"/>
    <n v="164.2"/>
    <n v="186"/>
    <n v="175.9"/>
    <n v="190.7"/>
    <n v="164"/>
    <n v="120.5"/>
    <n v="178"/>
    <n v="157.5"/>
    <n v="183.3"/>
    <n v="2072.9"/>
    <n v="174.5"/>
    <n v="197.1"/>
    <n v="685.19999999999993"/>
    <n v="168.4"/>
    <n v="154.5"/>
    <n v="489.2"/>
    <n v="166.3"/>
    <n v="167"/>
    <n v="326.8"/>
    <n v="170.5"/>
    <n v="159.80000000000001"/>
    <n v="169"/>
    <n v="159.30000000000001"/>
    <n v="162.19999999999999"/>
    <n v="164"/>
    <n v="168.4"/>
    <n v="163.1"/>
    <n v="169.2"/>
  </r>
  <r>
    <x v="2"/>
    <x v="9"/>
    <x v="3"/>
    <n v="152.9"/>
    <n v="211.8"/>
    <n v="164.5"/>
    <n v="163.9"/>
    <n v="199.5"/>
    <n v="172.6"/>
    <n v="166.2"/>
    <n v="164.7"/>
    <n v="119"/>
    <n v="181.3"/>
    <n v="166.2"/>
    <n v="180.9"/>
    <n v="2048.1000000000004"/>
    <n v="170.8"/>
    <n v="193.9"/>
    <n v="693.3"/>
    <n v="173.9"/>
    <n v="166.5"/>
    <n v="513.20000000000005"/>
    <n v="172.8"/>
    <n v="167"/>
    <n v="331"/>
    <n v="172.2"/>
    <n v="164"/>
    <n v="174"/>
    <n v="162.6"/>
    <n v="164.4"/>
    <n v="166.9"/>
    <n v="168.8"/>
    <n v="166.8"/>
    <n v="170.1"/>
  </r>
  <r>
    <x v="0"/>
    <x v="9"/>
    <x v="4"/>
    <n v="152.9"/>
    <n v="214.7"/>
    <n v="161.4"/>
    <n v="164.6"/>
    <n v="209.9"/>
    <n v="168"/>
    <n v="160.4"/>
    <n v="165"/>
    <n v="118.9"/>
    <n v="186.6"/>
    <n v="173.2"/>
    <n v="180.4"/>
    <n v="2053.6000000000004"/>
    <n v="170.8"/>
    <n v="192.9"/>
    <n v="702.2"/>
    <n v="179.3"/>
    <n v="177.2"/>
    <n v="535.5"/>
    <n v="179"/>
    <n v="167.5"/>
    <n v="336.4"/>
    <n v="175.3"/>
    <n v="168.9"/>
    <n v="177.7"/>
    <n v="167.1"/>
    <n v="167.6"/>
    <n v="171.8"/>
    <n v="168.5"/>
    <n v="170.9"/>
    <n v="172.5"/>
  </r>
  <r>
    <x v="1"/>
    <x v="9"/>
    <x v="4"/>
    <n v="156.69999999999999"/>
    <n v="221.2"/>
    <n v="164.1"/>
    <n v="165.4"/>
    <n v="189.5"/>
    <n v="174.5"/>
    <n v="203.2"/>
    <n v="164.1"/>
    <n v="121.2"/>
    <n v="181.4"/>
    <n v="158.5"/>
    <n v="184.9"/>
    <n v="2103.6999999999998"/>
    <n v="177.5"/>
    <n v="197.5"/>
    <n v="687.40000000000009"/>
    <n v="170"/>
    <n v="155.9"/>
    <n v="493.7"/>
    <n v="167.8"/>
    <n v="167.5"/>
    <n v="328.6"/>
    <n v="173.5"/>
    <n v="161.1"/>
    <n v="170.1"/>
    <n v="159.4"/>
    <n v="163.19999999999999"/>
    <n v="165.2"/>
    <n v="168.2"/>
    <n v="163.80000000000001"/>
    <n v="170.8"/>
  </r>
  <r>
    <x v="2"/>
    <x v="9"/>
    <x v="4"/>
    <n v="154.1"/>
    <n v="217"/>
    <n v="162.4"/>
    <n v="164.9"/>
    <n v="202.4"/>
    <n v="171"/>
    <n v="174.9"/>
    <n v="164.7"/>
    <n v="119.7"/>
    <n v="184.9"/>
    <n v="167.1"/>
    <n v="182.5"/>
    <n v="2071.8000000000002"/>
    <n v="173.3"/>
    <n v="194.1"/>
    <n v="694.69999999999993"/>
    <n v="175.6"/>
    <n v="168.4"/>
    <n v="518.6"/>
    <n v="174.6"/>
    <n v="167.5"/>
    <n v="332.7"/>
    <n v="174.6"/>
    <n v="165.2"/>
    <n v="174.8"/>
    <n v="163"/>
    <n v="165.1"/>
    <n v="167.9"/>
    <n v="168.4"/>
    <n v="167.5"/>
    <n v="171.7"/>
  </r>
  <r>
    <x v="0"/>
    <x v="9"/>
    <x v="5"/>
    <n v="153.80000000000001"/>
    <n v="217.2"/>
    <n v="169.6"/>
    <n v="165.4"/>
    <n v="208.1"/>
    <n v="165.8"/>
    <n v="167.3"/>
    <n v="164.6"/>
    <n v="119.1"/>
    <n v="188.9"/>
    <n v="174.2"/>
    <n v="181.9"/>
    <n v="2074.1"/>
    <n v="172.4"/>
    <n v="192.9"/>
    <n v="704.6"/>
    <n v="180.7"/>
    <n v="178.7"/>
    <n v="539.79999999999995"/>
    <n v="180.4"/>
    <n v="166.8"/>
    <n v="337.1"/>
    <n v="176.7"/>
    <n v="170.3"/>
    <n v="178.2"/>
    <n v="165.5"/>
    <n v="168"/>
    <n v="172.6"/>
    <n v="169.5"/>
    <n v="171"/>
    <n v="173.6"/>
  </r>
  <r>
    <x v="1"/>
    <x v="9"/>
    <x v="5"/>
    <n v="157.5"/>
    <n v="223.4"/>
    <n v="172.8"/>
    <n v="166.4"/>
    <n v="188.6"/>
    <n v="174.1"/>
    <n v="211.5"/>
    <n v="163.6"/>
    <n v="121.4"/>
    <n v="183.5"/>
    <n v="159.1"/>
    <n v="186.3"/>
    <n v="2128.4"/>
    <n v="179.3"/>
    <n v="198.3"/>
    <n v="690.7"/>
    <n v="171.6"/>
    <n v="157.4"/>
    <n v="498.4"/>
    <n v="169.4"/>
    <n v="166.8"/>
    <n v="328.9"/>
    <n v="174.9"/>
    <n v="162.1"/>
    <n v="170.9"/>
    <n v="157.19999999999999"/>
    <n v="164.1"/>
    <n v="166.5"/>
    <n v="169.2"/>
    <n v="163.80000000000001"/>
    <n v="171.4"/>
  </r>
  <r>
    <x v="2"/>
    <x v="9"/>
    <x v="5"/>
    <n v="155"/>
    <n v="219.4"/>
    <n v="170.8"/>
    <n v="165.8"/>
    <n v="200.9"/>
    <n v="169.7"/>
    <n v="182.3"/>
    <n v="164.3"/>
    <n v="119.9"/>
    <n v="187.1"/>
    <n v="167.9"/>
    <n v="183.9"/>
    <n v="2094"/>
    <n v="174.9"/>
    <n v="194.3"/>
    <n v="697.4"/>
    <n v="177.1"/>
    <n v="169.9"/>
    <n v="523"/>
    <n v="176"/>
    <n v="166.8"/>
    <n v="333.20000000000005"/>
    <n v="176"/>
    <n v="166.4"/>
    <n v="175.4"/>
    <n v="161.1"/>
    <n v="165.8"/>
    <n v="169"/>
    <n v="169.4"/>
    <n v="167.5"/>
    <n v="172.6"/>
  </r>
  <r>
    <x v="0"/>
    <x v="9"/>
    <x v="6"/>
    <n v="155.19999999999999"/>
    <n v="210.8"/>
    <n v="174.3"/>
    <n v="166.3"/>
    <n v="202.2"/>
    <n v="169.6"/>
    <n v="168.6"/>
    <n v="164.4"/>
    <n v="119.2"/>
    <n v="191.8"/>
    <n v="174.5"/>
    <n v="183.1"/>
    <n v="2078"/>
    <n v="172.5"/>
    <n v="193.2"/>
    <n v="706"/>
    <n v="182"/>
    <n v="180.3"/>
    <n v="544"/>
    <n v="181.7"/>
    <n v="167.8"/>
    <n v="339.1"/>
    <n v="179.6"/>
    <n v="171.3"/>
    <n v="178.8"/>
    <n v="166.3"/>
    <n v="168.6"/>
    <n v="174.7"/>
    <n v="169.7"/>
    <n v="171.8"/>
    <n v="174.3"/>
  </r>
  <r>
    <x v="1"/>
    <x v="9"/>
    <x v="6"/>
    <n v="159.30000000000001"/>
    <n v="217.1"/>
    <n v="176.6"/>
    <n v="167.1"/>
    <n v="184.8"/>
    <n v="179.5"/>
    <n v="208.5"/>
    <n v="164"/>
    <n v="121.5"/>
    <n v="186.3"/>
    <n v="159.80000000000001"/>
    <n v="187.7"/>
    <n v="2131.7999999999997"/>
    <n v="179.4"/>
    <n v="198.6"/>
    <n v="692.8"/>
    <n v="172.7"/>
    <n v="158.69999999999999"/>
    <n v="502"/>
    <n v="170.6"/>
    <n v="167.8"/>
    <n v="330.9"/>
    <n v="179.5"/>
    <n v="163.1"/>
    <n v="171.7"/>
    <n v="157.4"/>
    <n v="164.6"/>
    <n v="169.1"/>
    <n v="169.8"/>
    <n v="164.7"/>
    <n v="172.3"/>
  </r>
  <r>
    <x v="2"/>
    <x v="9"/>
    <x v="6"/>
    <n v="156.5"/>
    <n v="213"/>
    <n v="175.2"/>
    <n v="166.6"/>
    <n v="195.8"/>
    <n v="174.2"/>
    <n v="182.1"/>
    <n v="164.3"/>
    <n v="120"/>
    <n v="190"/>
    <n v="168.4"/>
    <n v="185.2"/>
    <n v="2097.8999999999996"/>
    <n v="175"/>
    <n v="194.6"/>
    <n v="699"/>
    <n v="178.3"/>
    <n v="171.3"/>
    <n v="526.90000000000009"/>
    <n v="177.3"/>
    <n v="167.8"/>
    <n v="335.20000000000005"/>
    <n v="179.6"/>
    <n v="167.4"/>
    <n v="176.1"/>
    <n v="161.6"/>
    <n v="166.3"/>
    <n v="171.4"/>
    <n v="169.7"/>
    <n v="168.4"/>
    <n v="173.4"/>
  </r>
  <r>
    <x v="0"/>
    <x v="9"/>
    <x v="7"/>
    <n v="159.5"/>
    <n v="204.1"/>
    <n v="168.3"/>
    <n v="167.9"/>
    <n v="198.1"/>
    <n v="169.2"/>
    <n v="173.1"/>
    <n v="167.1"/>
    <n v="120.2"/>
    <n v="195.6"/>
    <n v="174.8"/>
    <n v="184"/>
    <n v="2081"/>
    <n v="173.9"/>
    <n v="193.7"/>
    <n v="708.9"/>
    <n v="183.2"/>
    <n v="181.7"/>
    <n v="547.9"/>
    <n v="183"/>
    <n v="169"/>
    <n v="341.3"/>
    <n v="179.1"/>
    <n v="172.3"/>
    <n v="179.4"/>
    <n v="166.6"/>
    <n v="169.3"/>
    <n v="175.7"/>
    <n v="171.1"/>
    <n v="172.6"/>
    <n v="175.3"/>
  </r>
  <r>
    <x v="1"/>
    <x v="9"/>
    <x v="7"/>
    <n v="162.1"/>
    <n v="210.9"/>
    <n v="170.6"/>
    <n v="168.4"/>
    <n v="182.5"/>
    <n v="177.1"/>
    <n v="213.1"/>
    <n v="167.3"/>
    <n v="122.2"/>
    <n v="189.7"/>
    <n v="160.5"/>
    <n v="188.9"/>
    <n v="2133.1999999999998"/>
    <n v="180.4"/>
    <n v="198.7"/>
    <n v="695.69999999999993"/>
    <n v="173.7"/>
    <n v="160"/>
    <n v="505.29999999999995"/>
    <n v="171.6"/>
    <n v="169"/>
    <n v="333.2"/>
    <n v="178.4"/>
    <n v="164.2"/>
    <n v="172.6"/>
    <n v="157.69999999999999"/>
    <n v="165.1"/>
    <n v="169.9"/>
    <n v="171.4"/>
    <n v="165.4"/>
    <n v="173.1"/>
  </r>
  <r>
    <x v="2"/>
    <x v="9"/>
    <x v="7"/>
    <n v="160.30000000000001"/>
    <n v="206.5"/>
    <n v="169.2"/>
    <n v="168.1"/>
    <n v="192.4"/>
    <n v="172.9"/>
    <n v="186.7"/>
    <n v="167.2"/>
    <n v="120.9"/>
    <n v="193.6"/>
    <n v="168.8"/>
    <n v="186.3"/>
    <n v="2100.4"/>
    <n v="176.3"/>
    <n v="195"/>
    <n v="701.90000000000009"/>
    <n v="179.5"/>
    <n v="172.7"/>
    <n v="530.70000000000005"/>
    <n v="178.5"/>
    <n v="169"/>
    <n v="337.5"/>
    <n v="178.8"/>
    <n v="168.5"/>
    <n v="176.8"/>
    <n v="161.9"/>
    <n v="166.9"/>
    <n v="172.3"/>
    <n v="171.2"/>
    <n v="169.1"/>
    <n v="174.3"/>
  </r>
  <r>
    <x v="0"/>
    <x v="9"/>
    <x v="8"/>
    <n v="162.9"/>
    <n v="206.7"/>
    <n v="169"/>
    <n v="169.5"/>
    <n v="194.1"/>
    <n v="164.1"/>
    <n v="176.9"/>
    <n v="169"/>
    <n v="120.8"/>
    <n v="199.1"/>
    <n v="175.4"/>
    <n v="184.8"/>
    <n v="2092.4"/>
    <n v="175.5"/>
    <n v="194.5"/>
    <n v="710.7"/>
    <n v="184.7"/>
    <n v="183.3"/>
    <n v="552.5"/>
    <n v="184.5"/>
    <n v="169.5"/>
    <n v="343.1"/>
    <n v="179.7"/>
    <n v="173.6"/>
    <n v="180.2"/>
    <n v="166.9"/>
    <n v="170"/>
    <n v="176.2"/>
    <n v="170.8"/>
    <n v="173.1"/>
    <n v="176.4"/>
  </r>
  <r>
    <x v="1"/>
    <x v="9"/>
    <x v="8"/>
    <n v="164.9"/>
    <n v="213.7"/>
    <n v="170.9"/>
    <n v="170.1"/>
    <n v="179.3"/>
    <n v="167.5"/>
    <n v="220.8"/>
    <n v="169.2"/>
    <n v="123.1"/>
    <n v="193.6"/>
    <n v="161.1"/>
    <n v="190.4"/>
    <n v="2145.3000000000002"/>
    <n v="181.8"/>
    <n v="199.7"/>
    <n v="697.69999999999993"/>
    <n v="175"/>
    <n v="161.69999999999999"/>
    <n v="509.7"/>
    <n v="173"/>
    <n v="169.5"/>
    <n v="334.5"/>
    <n v="179.2"/>
    <n v="165"/>
    <n v="173.8"/>
    <n v="158.19999999999999"/>
    <n v="165.8"/>
    <n v="170.9"/>
    <n v="171.1"/>
    <n v="166.1"/>
    <n v="174.1"/>
  </r>
  <r>
    <x v="2"/>
    <x v="9"/>
    <x v="8"/>
    <n v="163.5"/>
    <n v="209.2"/>
    <n v="169.7"/>
    <n v="169.7"/>
    <n v="188.7"/>
    <n v="165.7"/>
    <n v="191.8"/>
    <n v="169.1"/>
    <n v="121.6"/>
    <n v="197.3"/>
    <n v="169.4"/>
    <n v="187.4"/>
    <n v="2111.5000000000005"/>
    <n v="177.8"/>
    <n v="195.9"/>
    <n v="703.8"/>
    <n v="180.9"/>
    <n v="174.3"/>
    <n v="535.1"/>
    <n v="179.9"/>
    <n v="169.5"/>
    <n v="339"/>
    <n v="179.5"/>
    <n v="169.5"/>
    <n v="177.8"/>
    <n v="162.30000000000001"/>
    <n v="167.6"/>
    <n v="173.1"/>
    <n v="170.9"/>
    <n v="169.7"/>
    <n v="175.3"/>
  </r>
  <r>
    <x v="0"/>
    <x v="9"/>
    <x v="9"/>
    <n v="164.7"/>
    <n v="208.8"/>
    <n v="170.3"/>
    <n v="170.9"/>
    <n v="191.6"/>
    <n v="162.19999999999999"/>
    <n v="184.8"/>
    <n v="169.7"/>
    <n v="121.1"/>
    <n v="201.6"/>
    <n v="175.8"/>
    <n v="185.6"/>
    <n v="2108.6999999999998"/>
    <n v="177.4"/>
    <n v="194.9"/>
    <n v="713.30000000000007"/>
    <n v="186.1"/>
    <n v="184.4"/>
    <n v="556.4"/>
    <n v="185.9"/>
    <n v="171.2"/>
    <n v="345.6"/>
    <n v="180.8"/>
    <n v="174.4"/>
    <n v="181.2"/>
    <n v="167.4"/>
    <n v="170.6"/>
    <n v="176.5"/>
    <n v="172"/>
    <n v="173.9"/>
    <n v="177.9"/>
  </r>
  <r>
    <x v="1"/>
    <x v="9"/>
    <x v="9"/>
    <n v="166.4"/>
    <n v="214.9"/>
    <n v="171.9"/>
    <n v="171"/>
    <n v="177.7"/>
    <n v="165.7"/>
    <n v="228.6"/>
    <n v="169.9"/>
    <n v="123.4"/>
    <n v="196.4"/>
    <n v="161.6"/>
    <n v="191.5"/>
    <n v="2160.7000000000003"/>
    <n v="183.3"/>
    <n v="200.1"/>
    <n v="700.3"/>
    <n v="175.5"/>
    <n v="162.6"/>
    <n v="511.70000000000005"/>
    <n v="173.6"/>
    <n v="171.2"/>
    <n v="337.2"/>
    <n v="180"/>
    <n v="166"/>
    <n v="174.7"/>
    <n v="158.80000000000001"/>
    <n v="166.3"/>
    <n v="171.2"/>
    <n v="172.3"/>
    <n v="166.8"/>
    <n v="175.3"/>
  </r>
  <r>
    <x v="2"/>
    <x v="9"/>
    <x v="9"/>
    <n v="165.2"/>
    <n v="210.9"/>
    <n v="170.9"/>
    <n v="170.9"/>
    <n v="186.5"/>
    <n v="163.80000000000001"/>
    <n v="199.7"/>
    <n v="169.8"/>
    <n v="121.9"/>
    <n v="199.9"/>
    <n v="169.9"/>
    <n v="188.3"/>
    <n v="2127.4000000000005"/>
    <n v="179.6"/>
    <n v="196.3"/>
    <n v="706.50000000000011"/>
    <n v="181.9"/>
    <n v="175.3"/>
    <n v="538.20000000000005"/>
    <n v="181"/>
    <n v="171.2"/>
    <n v="341.6"/>
    <n v="180.5"/>
    <n v="170.4"/>
    <n v="178.7"/>
    <n v="162.9"/>
    <n v="168.2"/>
    <n v="173.4"/>
    <n v="172.1"/>
    <n v="170.5"/>
    <n v="176.7"/>
  </r>
  <r>
    <x v="0"/>
    <x v="9"/>
    <x v="10"/>
    <n v="166.9"/>
    <n v="207.2"/>
    <n v="180.2"/>
    <n v="172.3"/>
    <n v="194"/>
    <n v="159.1"/>
    <n v="171.6"/>
    <n v="170.2"/>
    <n v="121.5"/>
    <n v="204.8"/>
    <n v="176.4"/>
    <n v="186.9"/>
    <n v="2111.3000000000002"/>
    <n v="176.6"/>
    <n v="195.5"/>
    <n v="716.1"/>
    <n v="187.2"/>
    <n v="185.2"/>
    <n v="559.29999999999995"/>
    <n v="186.9"/>
    <n v="171.8"/>
    <n v="347.3"/>
    <n v="181.9"/>
    <n v="175.5"/>
    <n v="182.3"/>
    <n v="167.5"/>
    <n v="170.8"/>
    <n v="176.9"/>
    <n v="173.4"/>
    <n v="174.6"/>
    <n v="177.8"/>
  </r>
  <r>
    <x v="1"/>
    <x v="9"/>
    <x v="10"/>
    <n v="168.4"/>
    <n v="213.4"/>
    <n v="183.2"/>
    <n v="172.3"/>
    <n v="180"/>
    <n v="162.6"/>
    <n v="205.5"/>
    <n v="171"/>
    <n v="123.4"/>
    <n v="198.8"/>
    <n v="162.1"/>
    <n v="192.4"/>
    <n v="2152.3000000000002"/>
    <n v="181.3"/>
    <n v="200.6"/>
    <n v="703.2"/>
    <n v="176.7"/>
    <n v="163.5"/>
    <n v="514.9"/>
    <n v="174.7"/>
    <n v="171.8"/>
    <n v="338.70000000000005"/>
    <n v="180.3"/>
    <n v="166.9"/>
    <n v="175.8"/>
    <n v="158.9"/>
    <n v="166.7"/>
    <n v="171.5"/>
    <n v="173.8"/>
    <n v="167.4"/>
    <n v="174.1"/>
  </r>
  <r>
    <x v="2"/>
    <x v="9"/>
    <x v="10"/>
    <n v="167.4"/>
    <n v="209.4"/>
    <n v="181.4"/>
    <n v="172.3"/>
    <n v="188.9"/>
    <n v="160.69999999999999"/>
    <n v="183.1"/>
    <n v="170.5"/>
    <n v="122.1"/>
    <n v="202.8"/>
    <n v="170.4"/>
    <n v="189.5"/>
    <n v="2126.4000000000005"/>
    <n v="178.3"/>
    <n v="196.9"/>
    <n v="709.4"/>
    <n v="183.1"/>
    <n v="176.2"/>
    <n v="541.4"/>
    <n v="182.1"/>
    <n v="171.8"/>
    <n v="343.20000000000005"/>
    <n v="181.3"/>
    <n v="171.4"/>
    <n v="179.8"/>
    <n v="163"/>
    <n v="168.5"/>
    <n v="173.7"/>
    <n v="173.6"/>
    <n v="171.1"/>
    <n v="176.5"/>
  </r>
  <r>
    <x v="0"/>
    <x v="9"/>
    <x v="11"/>
    <n v="168.8"/>
    <n v="206.9"/>
    <n v="189.1"/>
    <n v="173.4"/>
    <n v="193.9"/>
    <n v="156.69999999999999"/>
    <n v="150.19999999999999"/>
    <n v="170.5"/>
    <n v="121.2"/>
    <n v="207.5"/>
    <n v="176.8"/>
    <n v="187.7"/>
    <n v="2100.3000000000002"/>
    <n v="174.4"/>
    <n v="195.9"/>
    <n v="719.60000000000014"/>
    <n v="188.1"/>
    <n v="185.9"/>
    <n v="561.79999999999995"/>
    <n v="187.8"/>
    <n v="170.7"/>
    <n v="347.1"/>
    <n v="182.8"/>
    <n v="176.4"/>
    <n v="183.5"/>
    <n v="167.8"/>
    <n v="171.2"/>
    <n v="177.3"/>
    <n v="175.7"/>
    <n v="175.5"/>
    <n v="177.1"/>
  </r>
  <r>
    <x v="1"/>
    <x v="9"/>
    <x v="11"/>
    <n v="170.2"/>
    <n v="212.9"/>
    <n v="191.9"/>
    <n v="173.9"/>
    <n v="179.1"/>
    <n v="159.5"/>
    <n v="178.7"/>
    <n v="171.3"/>
    <n v="123.1"/>
    <n v="200.5"/>
    <n v="162.80000000000001"/>
    <n v="193.3"/>
    <n v="2133.0000000000005"/>
    <n v="178.6"/>
    <n v="201.1"/>
    <n v="707"/>
    <n v="177.7"/>
    <n v="164.5"/>
    <n v="517.9"/>
    <n v="175.7"/>
    <n v="170.7"/>
    <n v="338"/>
    <n v="180.6"/>
    <n v="167.3"/>
    <n v="177.2"/>
    <n v="159.4"/>
    <n v="167.1"/>
    <n v="171.8"/>
    <n v="176"/>
    <n v="168.2"/>
    <n v="174.1"/>
  </r>
  <r>
    <x v="2"/>
    <x v="9"/>
    <x v="11"/>
    <n v="169.2"/>
    <n v="209"/>
    <n v="190.2"/>
    <n v="173.6"/>
    <n v="188.5"/>
    <n v="158"/>
    <n v="159.9"/>
    <n v="170.8"/>
    <n v="121.8"/>
    <n v="205.2"/>
    <n v="171"/>
    <n v="190.3"/>
    <n v="2112.4"/>
    <n v="175.9"/>
    <n v="197.3"/>
    <n v="713"/>
    <n v="184"/>
    <n v="177"/>
    <n v="544"/>
    <n v="183"/>
    <n v="170.7"/>
    <n v="342.79999999999995"/>
    <n v="182"/>
    <n v="172.1"/>
    <n v="181.1"/>
    <n v="163.4"/>
    <n v="168.9"/>
    <n v="174.1"/>
    <n v="175.8"/>
    <n v="172"/>
    <n v="175.7"/>
  </r>
  <r>
    <x v="0"/>
    <x v="10"/>
    <x v="0"/>
    <n v="174"/>
    <n v="208.3"/>
    <n v="192.9"/>
    <n v="174.3"/>
    <n v="192.6"/>
    <n v="156.30000000000001"/>
    <n v="142.9"/>
    <n v="170.7"/>
    <n v="120.3"/>
    <n v="210.5"/>
    <n v="176.9"/>
    <n v="188.5"/>
    <n v="2106.3000000000002"/>
    <n v="175"/>
    <n v="196.9"/>
    <n v="724"/>
    <n v="189"/>
    <n v="186.3"/>
    <n v="563.9"/>
    <n v="188.6"/>
    <n v="172.1"/>
    <n v="349.29999999999995"/>
    <n v="183.2"/>
    <n v="177.2"/>
    <n v="184.7"/>
    <n v="168.2"/>
    <n v="171.8"/>
    <n v="177.8"/>
    <n v="178.4"/>
    <n v="176.5"/>
    <n v="177.8"/>
  </r>
  <r>
    <x v="1"/>
    <x v="10"/>
    <x v="0"/>
    <n v="173.3"/>
    <n v="215.2"/>
    <n v="197"/>
    <n v="175.2"/>
    <n v="178"/>
    <n v="160.5"/>
    <n v="175.3"/>
    <n v="171.2"/>
    <n v="122.7"/>
    <n v="204.3"/>
    <n v="163.69999999999999"/>
    <n v="194.3"/>
    <n v="2146.5"/>
    <n v="179.5"/>
    <n v="201.6"/>
    <n v="711.89999999999986"/>
    <n v="178.7"/>
    <n v="165.3"/>
    <n v="520.6"/>
    <n v="176.6"/>
    <n v="172.1"/>
    <n v="340.1"/>
    <n v="180.1"/>
    <n v="168"/>
    <n v="178.5"/>
    <n v="159.5"/>
    <n v="167.8"/>
    <n v="171.8"/>
    <n v="178.8"/>
    <n v="168.9"/>
    <n v="174.9"/>
  </r>
  <r>
    <x v="2"/>
    <x v="10"/>
    <x v="0"/>
    <n v="173.8"/>
    <n v="210.7"/>
    <n v="194.5"/>
    <n v="174.6"/>
    <n v="187.2"/>
    <n v="158.30000000000001"/>
    <n v="153.9"/>
    <n v="170.9"/>
    <n v="121.1"/>
    <n v="208.4"/>
    <n v="171.4"/>
    <n v="191.2"/>
    <n v="2121.2999999999997"/>
    <n v="176.7"/>
    <n v="198.2"/>
    <n v="717.7"/>
    <n v="184.9"/>
    <n v="177.6"/>
    <n v="546.29999999999995"/>
    <n v="183.8"/>
    <n v="172.1"/>
    <n v="345"/>
    <n v="182"/>
    <n v="172.9"/>
    <n v="182.3"/>
    <n v="163.6"/>
    <n v="169.5"/>
    <n v="174.3"/>
    <n v="178.6"/>
    <n v="172.8"/>
    <n v="176.5"/>
  </r>
  <r>
    <x v="0"/>
    <x v="10"/>
    <x v="1"/>
    <n v="174.2"/>
    <n v="205.2"/>
    <n v="173.9"/>
    <n v="177"/>
    <n v="183.4"/>
    <n v="167.2"/>
    <n v="140.9"/>
    <n v="170.4"/>
    <n v="119.1"/>
    <n v="212.1"/>
    <n v="177.6"/>
    <n v="189.9"/>
    <n v="2088.1000000000004"/>
    <n v="174.8"/>
    <n v="198.3"/>
    <n v="729.40000000000009"/>
    <n v="190"/>
    <n v="187"/>
    <n v="566.6"/>
    <n v="189.6"/>
    <n v="173.5"/>
    <n v="352.1"/>
    <n v="181.6"/>
    <n v="178.6"/>
    <n v="186.6"/>
    <n v="169"/>
    <n v="172.8"/>
    <n v="178.5"/>
    <n v="180.7"/>
    <n v="177.9"/>
    <n v="178"/>
  </r>
  <r>
    <x v="1"/>
    <x v="10"/>
    <x v="1"/>
    <n v="174.7"/>
    <n v="212.2"/>
    <n v="177.2"/>
    <n v="177.9"/>
    <n v="172.2"/>
    <n v="172.1"/>
    <n v="175.8"/>
    <n v="172.2"/>
    <n v="121.9"/>
    <n v="204.8"/>
    <n v="164.9"/>
    <n v="196.6"/>
    <n v="2138.3000000000002"/>
    <n v="180.7"/>
    <n v="202.7"/>
    <n v="717.4"/>
    <n v="180.3"/>
    <n v="167"/>
    <n v="525.5"/>
    <n v="178.2"/>
    <n v="173.5"/>
    <n v="342.7"/>
    <n v="182.8"/>
    <n v="169.2"/>
    <n v="180.8"/>
    <n v="159.80000000000001"/>
    <n v="168.4"/>
    <n v="172.5"/>
    <n v="181.4"/>
    <n v="170"/>
    <n v="176.3"/>
  </r>
  <r>
    <x v="2"/>
    <x v="10"/>
    <x v="1"/>
    <n v="174.4"/>
    <n v="207.7"/>
    <n v="175.2"/>
    <n v="177.3"/>
    <n v="179.3"/>
    <n v="169.5"/>
    <n v="152.69999999999999"/>
    <n v="171"/>
    <n v="120"/>
    <n v="209.7"/>
    <n v="172.3"/>
    <n v="193"/>
    <n v="2106.8000000000002"/>
    <n v="177"/>
    <n v="199.5"/>
    <n v="723.1"/>
    <n v="186.2"/>
    <n v="178.7"/>
    <n v="550"/>
    <n v="185.1"/>
    <n v="173.5"/>
    <n v="347.7"/>
    <n v="182.1"/>
    <n v="174.2"/>
    <n v="184.4"/>
    <n v="164.2"/>
    <n v="170.3"/>
    <n v="175"/>
    <n v="181"/>
    <n v="174.1"/>
    <n v="177.2"/>
  </r>
  <r>
    <x v="0"/>
    <x v="10"/>
    <x v="2"/>
    <n v="174.3"/>
    <n v="205.2"/>
    <n v="173.9"/>
    <n v="177"/>
    <n v="183.3"/>
    <n v="167.2"/>
    <n v="140.9"/>
    <n v="170.5"/>
    <n v="119.1"/>
    <n v="212.1"/>
    <n v="177.6"/>
    <n v="189.9"/>
    <n v="2088.2000000000003"/>
    <n v="174.8"/>
    <n v="198.4"/>
    <n v="729.5"/>
    <n v="190"/>
    <n v="187"/>
    <n v="566.6"/>
    <n v="189.6"/>
    <n v="173.5"/>
    <n v="352.1"/>
    <n v="181.4"/>
    <n v="178.6"/>
    <n v="186.6"/>
    <n v="169"/>
    <n v="172.8"/>
    <n v="178.5"/>
    <n v="180.7"/>
    <n v="177.9"/>
    <n v="178"/>
  </r>
  <r>
    <x v="1"/>
    <x v="10"/>
    <x v="2"/>
    <n v="174.7"/>
    <n v="212.2"/>
    <n v="177.2"/>
    <n v="177.9"/>
    <n v="172.2"/>
    <n v="172.1"/>
    <n v="175.9"/>
    <n v="172.2"/>
    <n v="121.9"/>
    <n v="204.8"/>
    <n v="164.9"/>
    <n v="196.6"/>
    <n v="2138.5000000000005"/>
    <n v="180.8"/>
    <n v="202.7"/>
    <n v="717.5"/>
    <n v="180.2"/>
    <n v="167"/>
    <n v="525.4"/>
    <n v="178.2"/>
    <n v="173.5"/>
    <n v="342.7"/>
    <n v="182.6"/>
    <n v="169.2"/>
    <n v="180.8"/>
    <n v="159.80000000000001"/>
    <n v="168.4"/>
    <n v="172.5"/>
    <n v="181.5"/>
    <n v="170"/>
    <n v="176.3"/>
  </r>
  <r>
    <x v="2"/>
    <x v="10"/>
    <x v="2"/>
    <n v="174.4"/>
    <n v="207.7"/>
    <n v="175.2"/>
    <n v="177.3"/>
    <n v="179.2"/>
    <n v="169.5"/>
    <n v="152.80000000000001"/>
    <n v="171.1"/>
    <n v="120"/>
    <n v="209.7"/>
    <n v="172.3"/>
    <n v="193"/>
    <n v="2106.9000000000005"/>
    <n v="177"/>
    <n v="199.5"/>
    <n v="723.1"/>
    <n v="186.1"/>
    <n v="178.7"/>
    <n v="549.9"/>
    <n v="185.1"/>
    <n v="173.5"/>
    <n v="347.7"/>
    <n v="181.9"/>
    <n v="174.2"/>
    <n v="184.4"/>
    <n v="164.2"/>
    <n v="170.3"/>
    <n v="175"/>
    <n v="181"/>
    <n v="174.1"/>
    <n v="177.2"/>
  </r>
  <r>
    <x v="0"/>
    <x v="10"/>
    <x v="3"/>
    <n v="173.3"/>
    <n v="206.9"/>
    <n v="167.9"/>
    <n v="178.2"/>
    <n v="178.5"/>
    <n v="173.7"/>
    <n v="142.80000000000001"/>
    <n v="172.8"/>
    <n v="120.4"/>
    <n v="215.5"/>
    <n v="178.2"/>
    <n v="190.5"/>
    <n v="2096"/>
    <n v="175.5"/>
    <n v="199.5"/>
    <n v="734.7"/>
    <n v="190.7"/>
    <n v="187.3"/>
    <n v="568.20000000000005"/>
    <n v="190.2"/>
    <n v="175.2"/>
    <n v="354.29999999999995"/>
    <n v="181.5"/>
    <n v="179.1"/>
    <n v="187.2"/>
    <n v="169.4"/>
    <n v="173.2"/>
    <n v="179.4"/>
    <n v="183.8"/>
    <n v="178.9"/>
    <n v="178.8"/>
  </r>
  <r>
    <x v="1"/>
    <x v="10"/>
    <x v="3"/>
    <n v="174.8"/>
    <n v="213.7"/>
    <n v="172.4"/>
    <n v="178.8"/>
    <n v="168.7"/>
    <n v="179.2"/>
    <n v="179.9"/>
    <n v="174.7"/>
    <n v="123.1"/>
    <n v="207.8"/>
    <n v="165.5"/>
    <n v="197"/>
    <n v="2152.1999999999998"/>
    <n v="182.1"/>
    <n v="203.5"/>
    <n v="722.19999999999993"/>
    <n v="181"/>
    <n v="167.7"/>
    <n v="527.6"/>
    <n v="178.9"/>
    <n v="175.2"/>
    <n v="344.79999999999995"/>
    <n v="182.1"/>
    <n v="169.6"/>
    <n v="181.5"/>
    <n v="160.1"/>
    <n v="168.8"/>
    <n v="174.2"/>
    <n v="184.4"/>
    <n v="170.9"/>
    <n v="177.4"/>
  </r>
  <r>
    <x v="2"/>
    <x v="10"/>
    <x v="3"/>
    <n v="173.8"/>
    <n v="209.3"/>
    <n v="169.6"/>
    <n v="178.4"/>
    <n v="174.9"/>
    <n v="176.3"/>
    <n v="155.4"/>
    <n v="173.4"/>
    <n v="121.3"/>
    <n v="212.9"/>
    <n v="172.9"/>
    <n v="193.5"/>
    <n v="2116.6999999999998"/>
    <n v="177.9"/>
    <n v="200.6"/>
    <n v="728.2"/>
    <n v="186.9"/>
    <n v="179.2"/>
    <n v="551.79999999999995"/>
    <n v="185.7"/>
    <n v="175.2"/>
    <n v="349.79999999999995"/>
    <n v="181.7"/>
    <n v="174.6"/>
    <n v="185"/>
    <n v="164.5"/>
    <n v="170.7"/>
    <n v="176.4"/>
    <n v="184"/>
    <n v="175"/>
    <n v="178.1"/>
  </r>
  <r>
    <x v="0"/>
    <x v="10"/>
    <x v="4"/>
    <n v="173.2"/>
    <n v="211.5"/>
    <n v="171"/>
    <n v="179.6"/>
    <n v="173.3"/>
    <n v="169"/>
    <n v="148.69999999999999"/>
    <n v="174.9"/>
    <n v="121.9"/>
    <n v="221"/>
    <n v="178.7"/>
    <n v="191.1"/>
    <n v="2112"/>
    <n v="176.8"/>
    <n v="199.9"/>
    <n v="737.30000000000007"/>
    <n v="191.2"/>
    <n v="187.9"/>
    <n v="569.90000000000009"/>
    <n v="190.8"/>
    <n v="175.6"/>
    <n v="355.4"/>
    <n v="182.5"/>
    <n v="179.8"/>
    <n v="187.8"/>
    <n v="169.7"/>
    <n v="173.8"/>
    <n v="180.3"/>
    <n v="184.9"/>
    <n v="179.5"/>
    <n v="179.8"/>
  </r>
  <r>
    <x v="1"/>
    <x v="10"/>
    <x v="4"/>
    <n v="174.7"/>
    <n v="219.4"/>
    <n v="176.7"/>
    <n v="179.4"/>
    <n v="164.4"/>
    <n v="175.8"/>
    <n v="185"/>
    <n v="176.9"/>
    <n v="124.2"/>
    <n v="211.9"/>
    <n v="165.9"/>
    <n v="197.7"/>
    <n v="2169.2000000000003"/>
    <n v="183.1"/>
    <n v="204.2"/>
    <n v="724.9"/>
    <n v="181.3"/>
    <n v="168.1"/>
    <n v="528.70000000000005"/>
    <n v="179.3"/>
    <n v="175.6"/>
    <n v="345.7"/>
    <n v="183.4"/>
    <n v="170.1"/>
    <n v="182.2"/>
    <n v="160.4"/>
    <n v="169.2"/>
    <n v="174.8"/>
    <n v="185.6"/>
    <n v="171.6"/>
    <n v="178.2"/>
  </r>
  <r>
    <x v="2"/>
    <x v="10"/>
    <x v="4"/>
    <n v="173.7"/>
    <n v="214.3"/>
    <n v="173.2"/>
    <n v="179.5"/>
    <n v="170"/>
    <n v="172.2"/>
    <n v="161"/>
    <n v="175.6"/>
    <n v="122.7"/>
    <n v="218"/>
    <n v="173.4"/>
    <n v="194.2"/>
    <n v="2133.5"/>
    <n v="179.1"/>
    <n v="201"/>
    <n v="730.8"/>
    <n v="187.3"/>
    <n v="179.7"/>
    <n v="553.20000000000005"/>
    <n v="186.2"/>
    <n v="175.6"/>
    <n v="350.79999999999995"/>
    <n v="182.8"/>
    <n v="175.2"/>
    <n v="185.7"/>
    <n v="164.8"/>
    <n v="171.2"/>
    <n v="177.1"/>
    <n v="185.2"/>
    <n v="175.7"/>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x v="0"/>
    <n v="107.5"/>
    <n v="106.3"/>
    <n v="108.1"/>
    <n v="104.9"/>
    <n v="106.1"/>
    <n v="103.9"/>
    <n v="101.9"/>
    <n v="106.1"/>
    <n v="106.8"/>
    <n v="103.1"/>
    <n v="104.8"/>
    <n v="106.7"/>
    <n v="1266.9000000000001"/>
    <n v="105.5"/>
    <n v="105.1"/>
    <n v="417.99999999999994"/>
    <n v="106.5"/>
    <n v="105.8"/>
    <n v="318.70000000000005"/>
    <n v="106.4"/>
    <n v="100.3"/>
    <n v="205.1"/>
    <n v="105.5"/>
    <n v="104.8"/>
    <n v="104"/>
    <n v="103.3"/>
    <n v="103.4"/>
    <n v="103.8"/>
    <n v="104.7"/>
    <n v="104"/>
    <n v="105.1"/>
    <n v="417.40000000000003"/>
    <n v="104.35"/>
  </r>
  <r>
    <s v="Urban"/>
    <x v="0"/>
    <x v="0"/>
    <n v="110.5"/>
    <n v="109.1"/>
    <n v="113"/>
    <n v="103.6"/>
    <n v="103.4"/>
    <n v="102.3"/>
    <n v="102.9"/>
    <n v="105.8"/>
    <n v="105.1"/>
    <n v="101.8"/>
    <n v="105.1"/>
    <n v="107.9"/>
    <n v="1271.3"/>
    <n v="105.9"/>
    <n v="105.2"/>
    <n v="417.50000000000006"/>
    <n v="105.9"/>
    <n v="105"/>
    <n v="316.7"/>
    <n v="105.8"/>
    <n v="100.3"/>
    <n v="205.1"/>
    <n v="105.4"/>
    <n v="104.8"/>
    <n v="104.1"/>
    <n v="103.2"/>
    <n v="102.9"/>
    <n v="103.5"/>
    <n v="104.3"/>
    <n v="103.7"/>
    <n v="104"/>
    <n v="416.90000000000003"/>
    <n v="104.22499999999999"/>
  </r>
  <r>
    <s v="Rural+Urban"/>
    <x v="0"/>
    <x v="0"/>
    <n v="108.4"/>
    <n v="107.3"/>
    <n v="110"/>
    <n v="104.4"/>
    <n v="105.1"/>
    <n v="103.2"/>
    <n v="102.2"/>
    <n v="106"/>
    <n v="106.2"/>
    <n v="102.7"/>
    <n v="104.9"/>
    <n v="107.3"/>
    <n v="1268.4000000000001"/>
    <n v="105.6"/>
    <n v="105.1"/>
    <n v="417.6"/>
    <n v="106.3"/>
    <n v="105.5"/>
    <n v="318"/>
    <n v="106.2"/>
    <n v="100.3"/>
    <n v="205.1"/>
    <n v="105.5"/>
    <n v="104.8"/>
    <n v="104"/>
    <n v="103.2"/>
    <n v="103.1"/>
    <n v="103.6"/>
    <n v="104.5"/>
    <n v="103.9"/>
    <n v="104.6"/>
    <n v="417.1"/>
    <n v="104.27500000000001"/>
  </r>
  <r>
    <s v="Rural"/>
    <x v="0"/>
    <x v="1"/>
    <n v="109.2"/>
    <n v="108.7"/>
    <n v="110.2"/>
    <n v="105.4"/>
    <n v="106.7"/>
    <n v="104"/>
    <n v="102.4"/>
    <n v="105.9"/>
    <n v="105.7"/>
    <n v="103.1"/>
    <n v="105.1"/>
    <n v="107.7"/>
    <n v="1275.3"/>
    <n v="106.3"/>
    <n v="105.6"/>
    <n v="419.29999999999995"/>
    <n v="107.1"/>
    <n v="106.3"/>
    <n v="320.39999999999998"/>
    <n v="107"/>
    <n v="100.4"/>
    <n v="205.60000000000002"/>
    <n v="106.2"/>
    <n v="105.2"/>
    <n v="104.4"/>
    <n v="103.9"/>
    <n v="104"/>
    <n v="104.1"/>
    <n v="104.6"/>
    <n v="104.4"/>
    <n v="105.8"/>
    <n v="419.4"/>
    <n v="104.85"/>
  </r>
  <r>
    <s v="Urban"/>
    <x v="0"/>
    <x v="1"/>
    <n v="112.9"/>
    <n v="112.9"/>
    <n v="116.9"/>
    <n v="104"/>
    <n v="103.5"/>
    <n v="103.1"/>
    <n v="104.9"/>
    <n v="104.1"/>
    <n v="103.8"/>
    <n v="102.3"/>
    <n v="106"/>
    <n v="109"/>
    <n v="1284.6000000000001"/>
    <n v="107.2"/>
    <n v="106"/>
    <n v="419.6"/>
    <n v="106.6"/>
    <n v="105.5"/>
    <n v="318.5"/>
    <n v="106.4"/>
    <n v="100.4"/>
    <n v="205.60000000000002"/>
    <n v="105.7"/>
    <n v="105.2"/>
    <n v="104.7"/>
    <n v="104.4"/>
    <n v="103.3"/>
    <n v="103.7"/>
    <n v="104.3"/>
    <n v="104.3"/>
    <n v="104.7"/>
    <n v="419"/>
    <n v="104.75"/>
  </r>
  <r>
    <s v="Rural+Urban"/>
    <x v="0"/>
    <x v="1"/>
    <n v="110.4"/>
    <n v="110.2"/>
    <n v="112.8"/>
    <n v="104.9"/>
    <n v="105.5"/>
    <n v="103.6"/>
    <n v="103.2"/>
    <n v="105.3"/>
    <n v="105.1"/>
    <n v="102.8"/>
    <n v="105.5"/>
    <n v="108.3"/>
    <n v="1278.7"/>
    <n v="106.6"/>
    <n v="105.7"/>
    <n v="419.29999999999995"/>
    <n v="106.9"/>
    <n v="106"/>
    <n v="319.7"/>
    <n v="106.8"/>
    <n v="100.4"/>
    <n v="205.60000000000002"/>
    <n v="106"/>
    <n v="105.2"/>
    <n v="104.5"/>
    <n v="104.2"/>
    <n v="103.6"/>
    <n v="103.9"/>
    <n v="104.5"/>
    <n v="104.4"/>
    <n v="105.3"/>
    <n v="419.3"/>
    <n v="104.825"/>
  </r>
  <r>
    <s v="Rural"/>
    <x v="0"/>
    <x v="2"/>
    <n v="110.2"/>
    <n v="108.8"/>
    <n v="109.9"/>
    <n v="105.6"/>
    <n v="106.2"/>
    <n v="105.7"/>
    <n v="101.4"/>
    <n v="105.7"/>
    <n v="105"/>
    <n v="103.3"/>
    <n v="105.6"/>
    <n v="108.2"/>
    <n v="1276.6000000000001"/>
    <n v="106.6"/>
    <n v="106.5"/>
    <n v="420.40000000000003"/>
    <n v="107.6"/>
    <n v="106.8"/>
    <n v="321.89999999999998"/>
    <n v="107.5"/>
    <n v="100.4"/>
    <n v="206"/>
    <n v="106.1"/>
    <n v="105.6"/>
    <n v="104.7"/>
    <n v="104.6"/>
    <n v="104"/>
    <n v="104.3"/>
    <n v="104.3"/>
    <n v="104.6"/>
    <n v="106"/>
    <n v="420.6"/>
    <n v="105.15"/>
  </r>
  <r>
    <s v="Urban"/>
    <x v="0"/>
    <x v="2"/>
    <n v="113.9"/>
    <n v="111.4"/>
    <n v="113.2"/>
    <n v="104.3"/>
    <n v="102.7"/>
    <n v="104.9"/>
    <n v="103.8"/>
    <n v="103.5"/>
    <n v="102.6"/>
    <n v="102.4"/>
    <n v="107"/>
    <n v="109.8"/>
    <n v="1279.8"/>
    <n v="107.3"/>
    <n v="106.8"/>
    <n v="421.5"/>
    <n v="107.2"/>
    <n v="106"/>
    <n v="320.2"/>
    <n v="107"/>
    <n v="100.4"/>
    <n v="206.10000000000002"/>
    <n v="106"/>
    <n v="105.7"/>
    <n v="105.2"/>
    <n v="105.5"/>
    <n v="103.5"/>
    <n v="103.8"/>
    <n v="104.2"/>
    <n v="104.9"/>
    <n v="105"/>
    <n v="421"/>
    <n v="105.25"/>
  </r>
  <r>
    <s v="Rural+Urban"/>
    <x v="0"/>
    <x v="2"/>
    <n v="111.4"/>
    <n v="109.7"/>
    <n v="111.2"/>
    <n v="105.1"/>
    <n v="104.9"/>
    <n v="105.3"/>
    <n v="102.2"/>
    <n v="105"/>
    <n v="104.2"/>
    <n v="103"/>
    <n v="106.2"/>
    <n v="108.9"/>
    <n v="1277.8000000000002"/>
    <n v="106.9"/>
    <n v="106.6"/>
    <n v="420.8"/>
    <n v="107.4"/>
    <n v="106.5"/>
    <n v="321.2"/>
    <n v="107.3"/>
    <n v="100.4"/>
    <n v="206"/>
    <n v="106.1"/>
    <n v="105.6"/>
    <n v="104.9"/>
    <n v="105.1"/>
    <n v="103.7"/>
    <n v="104"/>
    <n v="104.3"/>
    <n v="104.7"/>
    <n v="105.5"/>
    <n v="420.79999999999995"/>
    <n v="105.19999999999999"/>
  </r>
  <r>
    <s v="Rural"/>
    <x v="0"/>
    <x v="3"/>
    <n v="110.2"/>
    <n v="109.5"/>
    <n v="106.9"/>
    <n v="106.3"/>
    <n v="105.7"/>
    <n v="108.3"/>
    <n v="103.4"/>
    <n v="105.7"/>
    <n v="104.2"/>
    <n v="103.2"/>
    <n v="106.5"/>
    <n v="108.8"/>
    <n v="1279.3"/>
    <n v="107.1"/>
    <n v="107.1"/>
    <n v="420.8"/>
    <n v="108.1"/>
    <n v="107.4"/>
    <n v="323.5"/>
    <n v="108"/>
    <n v="100.5"/>
    <n v="206.6"/>
    <n v="106.5"/>
    <n v="106.1"/>
    <n v="105.1"/>
    <n v="104.4"/>
    <n v="104.5"/>
    <n v="104.8"/>
    <n v="102.7"/>
    <n v="104.6"/>
    <n v="106.4"/>
    <n v="421.79999999999995"/>
    <n v="105.44999999999999"/>
  </r>
  <r>
    <s v="Urban"/>
    <x v="0"/>
    <x v="3"/>
    <n v="114.6"/>
    <n v="113.4"/>
    <n v="106"/>
    <n v="104.7"/>
    <n v="102.1"/>
    <n v="109.5"/>
    <n v="109.7"/>
    <n v="104.6"/>
    <n v="102"/>
    <n v="103.5"/>
    <n v="108.2"/>
    <n v="110.6"/>
    <n v="1289.5"/>
    <n v="108.8"/>
    <n v="108.5"/>
    <n v="423.9"/>
    <n v="107.9"/>
    <n v="106.4"/>
    <n v="322"/>
    <n v="107.7"/>
    <n v="100.5"/>
    <n v="207"/>
    <n v="106.4"/>
    <n v="106.5"/>
    <n v="105.7"/>
    <n v="105"/>
    <n v="104"/>
    <n v="105.2"/>
    <n v="103.2"/>
    <n v="105.1"/>
    <n v="105.7"/>
    <n v="423.1"/>
    <n v="105.77500000000001"/>
  </r>
  <r>
    <s v="Rural+Urban"/>
    <x v="0"/>
    <x v="3"/>
    <n v="111.6"/>
    <n v="110.9"/>
    <n v="106.6"/>
    <n v="105.7"/>
    <n v="104.4"/>
    <n v="108.9"/>
    <n v="105.5"/>
    <n v="105.3"/>
    <n v="103.5"/>
    <n v="103.3"/>
    <n v="107.2"/>
    <n v="109.6"/>
    <n v="1283"/>
    <n v="107.7"/>
    <n v="107.5"/>
    <n v="421.79999999999995"/>
    <n v="108"/>
    <n v="107"/>
    <n v="322.89999999999998"/>
    <n v="107.9"/>
    <n v="100.5"/>
    <n v="206.8"/>
    <n v="106.5"/>
    <n v="106.3"/>
    <n v="105.3"/>
    <n v="104.7"/>
    <n v="104.2"/>
    <n v="105"/>
    <n v="102.9"/>
    <n v="104.8"/>
    <n v="106.1"/>
    <n v="422.5"/>
    <n v="105.625"/>
  </r>
  <r>
    <s v="Rural"/>
    <x v="0"/>
    <x v="4"/>
    <n v="110.9"/>
    <n v="109.8"/>
    <n v="105.9"/>
    <n v="107.5"/>
    <n v="105.3"/>
    <n v="108.1"/>
    <n v="107.3"/>
    <n v="106.1"/>
    <n v="103.7"/>
    <n v="104"/>
    <n v="107.4"/>
    <n v="109.9"/>
    <n v="1286.5999999999999"/>
    <n v="108.1"/>
    <n v="108.1"/>
    <n v="422.6"/>
    <n v="108.8"/>
    <n v="107.9"/>
    <n v="325.29999999999995"/>
    <n v="108.6"/>
    <n v="100.5"/>
    <n v="207.3"/>
    <n v="107.5"/>
    <n v="106.8"/>
    <n v="105.7"/>
    <n v="104.1"/>
    <n v="105"/>
    <n v="105.5"/>
    <n v="102.1"/>
    <n v="104.8"/>
    <n v="107.2"/>
    <n v="423.90000000000003"/>
    <n v="105.97499999999999"/>
  </r>
  <r>
    <s v="Urban"/>
    <x v="0"/>
    <x v="4"/>
    <n v="115.4"/>
    <n v="114.2"/>
    <n v="102.7"/>
    <n v="105.5"/>
    <n v="101.5"/>
    <n v="110.6"/>
    <n v="123.7"/>
    <n v="105.2"/>
    <n v="101.9"/>
    <n v="105"/>
    <n v="109.1"/>
    <n v="111.3"/>
    <n v="1308.1000000000001"/>
    <n v="111.1"/>
    <n v="109.8"/>
    <n v="426.1"/>
    <n v="108.5"/>
    <n v="106.7"/>
    <n v="323.5"/>
    <n v="108.3"/>
    <n v="100.5"/>
    <n v="207.6"/>
    <n v="107.2"/>
    <n v="107.1"/>
    <n v="106.2"/>
    <n v="103.9"/>
    <n v="104.6"/>
    <n v="105.7"/>
    <n v="102.6"/>
    <n v="104.9"/>
    <n v="106.6"/>
    <n v="423.9"/>
    <n v="105.97500000000001"/>
  </r>
  <r>
    <s v="Rural+Urban"/>
    <x v="0"/>
    <x v="4"/>
    <n v="112.3"/>
    <n v="111.3"/>
    <n v="104.7"/>
    <n v="106.8"/>
    <n v="103.9"/>
    <n v="109.3"/>
    <n v="112.9"/>
    <n v="105.8"/>
    <n v="103.1"/>
    <n v="104.3"/>
    <n v="108.1"/>
    <n v="110.5"/>
    <n v="1294.0999999999999"/>
    <n v="109.2"/>
    <n v="108.6"/>
    <n v="423.8"/>
    <n v="108.7"/>
    <n v="107.4"/>
    <n v="324.60000000000002"/>
    <n v="108.5"/>
    <n v="100.5"/>
    <n v="207.4"/>
    <n v="107.4"/>
    <n v="106.9"/>
    <n v="105.9"/>
    <n v="104"/>
    <n v="104.8"/>
    <n v="105.6"/>
    <n v="102.3"/>
    <n v="104.8"/>
    <n v="106.9"/>
    <n v="423.9"/>
    <n v="105.97499999999999"/>
  </r>
  <r>
    <s v="Rural"/>
    <x v="0"/>
    <x v="5"/>
    <n v="112.3"/>
    <n v="112.1"/>
    <n v="108.1"/>
    <n v="108.3"/>
    <n v="105.9"/>
    <n v="109.2"/>
    <n v="118"/>
    <n v="106.8"/>
    <n v="104.1"/>
    <n v="105.4"/>
    <n v="108.2"/>
    <n v="111"/>
    <n v="1311.7999999999997"/>
    <n v="110.6"/>
    <n v="109"/>
    <n v="425.29999999999995"/>
    <n v="109.7"/>
    <n v="108.8"/>
    <n v="328"/>
    <n v="109.5"/>
    <n v="106.6"/>
    <n v="214.1"/>
    <n v="108.5"/>
    <n v="107.5"/>
    <n v="106.3"/>
    <n v="105"/>
    <n v="105.6"/>
    <n v="106.5"/>
    <n v="102.5"/>
    <n v="105.5"/>
    <n v="108.9"/>
    <n v="427.5"/>
    <n v="106.875"/>
  </r>
  <r>
    <s v="Urban"/>
    <x v="0"/>
    <x v="5"/>
    <n v="117"/>
    <n v="120.1"/>
    <n v="112.5"/>
    <n v="107.3"/>
    <n v="101.3"/>
    <n v="112.4"/>
    <n v="143.6"/>
    <n v="105.4"/>
    <n v="101.4"/>
    <n v="106.4"/>
    <n v="110"/>
    <n v="112.2"/>
    <n v="1354.6"/>
    <n v="115"/>
    <n v="110.9"/>
    <n v="429.40000000000003"/>
    <n v="109.2"/>
    <n v="107.2"/>
    <n v="325.3"/>
    <n v="108.9"/>
    <n v="106.6"/>
    <n v="214.3"/>
    <n v="108"/>
    <n v="107.7"/>
    <n v="106.5"/>
    <n v="105.2"/>
    <n v="105.2"/>
    <n v="108.1"/>
    <n v="103.3"/>
    <n v="106.1"/>
    <n v="109.7"/>
    <n v="429"/>
    <n v="107.25"/>
  </r>
  <r>
    <s v="Rural+Urban"/>
    <x v="0"/>
    <x v="5"/>
    <n v="113.8"/>
    <n v="114.9"/>
    <n v="109.8"/>
    <n v="107.9"/>
    <n v="104.2"/>
    <n v="110.7"/>
    <n v="126.7"/>
    <n v="106.3"/>
    <n v="103.2"/>
    <n v="105.7"/>
    <n v="109"/>
    <n v="111.6"/>
    <n v="1327"/>
    <n v="112.2"/>
    <n v="109.5"/>
    <n v="426.7"/>
    <n v="109.5"/>
    <n v="108.1"/>
    <n v="326.89999999999998"/>
    <n v="109.3"/>
    <n v="106.6"/>
    <n v="214.2"/>
    <n v="108.3"/>
    <n v="107.6"/>
    <n v="106.4"/>
    <n v="105.1"/>
    <n v="105.4"/>
    <n v="107.4"/>
    <n v="102.8"/>
    <n v="105.8"/>
    <n v="109.3"/>
    <n v="428.4"/>
    <n v="107.10000000000001"/>
  </r>
  <r>
    <s v="Rural"/>
    <x v="0"/>
    <x v="6"/>
    <n v="113.4"/>
    <n v="114.9"/>
    <n v="110.5"/>
    <n v="109.3"/>
    <n v="106.2"/>
    <n v="110.3"/>
    <n v="129.19999999999999"/>
    <n v="107.1"/>
    <n v="104.3"/>
    <n v="106.4"/>
    <n v="109.1"/>
    <n v="112.1"/>
    <n v="1336.8"/>
    <n v="113.1"/>
    <n v="109.8"/>
    <n v="427.79999999999995"/>
    <n v="110.5"/>
    <n v="109.5"/>
    <n v="330.3"/>
    <n v="110.3"/>
    <n v="107.7"/>
    <n v="216"/>
    <n v="109.5"/>
    <n v="108.3"/>
    <n v="106.9"/>
    <n v="106.8"/>
    <n v="106.4"/>
    <n v="107.8"/>
    <n v="102.5"/>
    <n v="106.5"/>
    <n v="110.7"/>
    <n v="432.40000000000003"/>
    <n v="108.1"/>
  </r>
  <r>
    <s v="Urban"/>
    <x v="0"/>
    <x v="6"/>
    <n v="117.8"/>
    <n v="119.2"/>
    <n v="114"/>
    <n v="108.3"/>
    <n v="101.1"/>
    <n v="113.2"/>
    <n v="160.9"/>
    <n v="105.1"/>
    <n v="101.3"/>
    <n v="107.5"/>
    <n v="110.4"/>
    <n v="113.1"/>
    <n v="1379"/>
    <n v="117.5"/>
    <n v="111.7"/>
    <n v="431.2"/>
    <n v="109.8"/>
    <n v="107.8"/>
    <n v="327.10000000000002"/>
    <n v="109.5"/>
    <n v="107.7"/>
    <n v="215.8"/>
    <n v="108.6"/>
    <n v="108.1"/>
    <n v="107.1"/>
    <n v="107.3"/>
    <n v="105.9"/>
    <n v="110.1"/>
    <n v="103.2"/>
    <n v="107.3"/>
    <n v="111.4"/>
    <n v="434.1"/>
    <n v="108.52500000000001"/>
  </r>
  <r>
    <s v="Rural+Urban"/>
    <x v="0"/>
    <x v="6"/>
    <n v="114.8"/>
    <n v="116.4"/>
    <n v="111.9"/>
    <n v="108.9"/>
    <n v="104.3"/>
    <n v="111.7"/>
    <n v="140"/>
    <n v="106.4"/>
    <n v="103.3"/>
    <n v="106.8"/>
    <n v="109.6"/>
    <n v="112.6"/>
    <n v="1351.8"/>
    <n v="114.7"/>
    <n v="110.3"/>
    <n v="428.8"/>
    <n v="110.2"/>
    <n v="108.8"/>
    <n v="329"/>
    <n v="110"/>
    <n v="107.7"/>
    <n v="215.9"/>
    <n v="109.2"/>
    <n v="108.2"/>
    <n v="107"/>
    <n v="107.1"/>
    <n v="106.1"/>
    <n v="109.1"/>
    <n v="102.8"/>
    <n v="106.9"/>
    <n v="111"/>
    <n v="433.59999999999997"/>
    <n v="108.39999999999999"/>
  </r>
  <r>
    <s v="Rural"/>
    <x v="0"/>
    <x v="7"/>
    <n v="114.3"/>
    <n v="115.4"/>
    <n v="111.1"/>
    <n v="110"/>
    <n v="106.4"/>
    <n v="110.8"/>
    <n v="138.9"/>
    <n v="107.4"/>
    <n v="104.1"/>
    <n v="106.9"/>
    <n v="109.7"/>
    <n v="112.6"/>
    <n v="1352.8"/>
    <n v="114.9"/>
    <n v="110.7"/>
    <n v="432.2"/>
    <n v="111.3"/>
    <n v="110.2"/>
    <n v="332.6"/>
    <n v="111.1"/>
    <n v="108.9"/>
    <n v="217.60000000000002"/>
    <n v="109.9"/>
    <n v="108.7"/>
    <n v="107.5"/>
    <n v="107.8"/>
    <n v="106.8"/>
    <n v="108.7"/>
    <n v="105"/>
    <n v="107.5"/>
    <n v="112.1"/>
    <n v="435.09999999999997"/>
    <n v="108.77500000000001"/>
  </r>
  <r>
    <s v="Urban"/>
    <x v="0"/>
    <x v="7"/>
    <n v="118.3"/>
    <n v="120.4"/>
    <n v="112.7"/>
    <n v="108.9"/>
    <n v="101.1"/>
    <n v="108.7"/>
    <n v="177"/>
    <n v="104.7"/>
    <n v="101"/>
    <n v="108.5"/>
    <n v="110.9"/>
    <n v="114.3"/>
    <n v="1395.2"/>
    <n v="119.6"/>
    <n v="112.4"/>
    <n v="435.8"/>
    <n v="110.6"/>
    <n v="108.3"/>
    <n v="329.09999999999997"/>
    <n v="110.2"/>
    <n v="108.9"/>
    <n v="217.60000000000002"/>
    <n v="109.3"/>
    <n v="108.7"/>
    <n v="107.6"/>
    <n v="108.1"/>
    <n v="106.5"/>
    <n v="110.8"/>
    <n v="106"/>
    <n v="108.3"/>
    <n v="112.7"/>
    <n v="436.9"/>
    <n v="109.22499999999999"/>
  </r>
  <r>
    <s v="Rural+Urban"/>
    <x v="0"/>
    <x v="7"/>
    <n v="115.6"/>
    <n v="117.2"/>
    <n v="111.7"/>
    <n v="109.6"/>
    <n v="104.5"/>
    <n v="109.8"/>
    <n v="151.80000000000001"/>
    <n v="106.5"/>
    <n v="103.1"/>
    <n v="107.4"/>
    <n v="110.2"/>
    <n v="113.4"/>
    <n v="1367.1999999999998"/>
    <n v="116.6"/>
    <n v="111.2"/>
    <n v="433.4"/>
    <n v="111"/>
    <n v="109.4"/>
    <n v="331.1"/>
    <n v="110.7"/>
    <n v="108.9"/>
    <n v="217.60000000000002"/>
    <n v="109.7"/>
    <n v="108.7"/>
    <n v="107.5"/>
    <n v="108"/>
    <n v="106.6"/>
    <n v="109.9"/>
    <n v="105.4"/>
    <n v="107.9"/>
    <n v="112.4"/>
    <n v="436.3"/>
    <n v="109.075"/>
  </r>
  <r>
    <s v="Rural"/>
    <x v="0"/>
    <x v="8"/>
    <n v="115.4"/>
    <n v="115.7"/>
    <n v="111.7"/>
    <n v="111"/>
    <n v="107.4"/>
    <n v="110.9"/>
    <n v="154"/>
    <n v="108.1"/>
    <n v="104.2"/>
    <n v="107.9"/>
    <n v="110.4"/>
    <n v="114"/>
    <n v="1378.1000000000001"/>
    <n v="117.8"/>
    <n v="111.7"/>
    <n v="436.5"/>
    <n v="112.7"/>
    <n v="111.4"/>
    <n v="336.6"/>
    <n v="112.5"/>
    <n v="109.7"/>
    <n v="219.3"/>
    <n v="111.1"/>
    <n v="109.6"/>
    <n v="108.3"/>
    <n v="109.3"/>
    <n v="107.7"/>
    <n v="109.8"/>
    <n v="106.7"/>
    <n v="108.7"/>
    <n v="114.2"/>
    <n v="439.79999999999995"/>
    <n v="109.94999999999999"/>
  </r>
  <r>
    <s v="Urban"/>
    <x v="0"/>
    <x v="8"/>
    <n v="118.6"/>
    <n v="119.1"/>
    <n v="113.2"/>
    <n v="109.6"/>
    <n v="101.7"/>
    <n v="103.2"/>
    <n v="174.3"/>
    <n v="105.1"/>
    <n v="100.8"/>
    <n v="109.1"/>
    <n v="111.1"/>
    <n v="115.4"/>
    <n v="1389.3"/>
    <n v="119.2"/>
    <n v="112.9"/>
    <n v="438.29999999999995"/>
    <n v="111.4"/>
    <n v="109"/>
    <n v="331.5"/>
    <n v="111.1"/>
    <n v="109.7"/>
    <n v="219.3"/>
    <n v="109.5"/>
    <n v="109.6"/>
    <n v="107.9"/>
    <n v="110.4"/>
    <n v="107.4"/>
    <n v="111.2"/>
    <n v="106.9"/>
    <n v="109.4"/>
    <n v="113.2"/>
    <n v="440.70000000000005"/>
    <n v="110.17500000000001"/>
  </r>
  <r>
    <s v="Rural+Urban"/>
    <x v="0"/>
    <x v="8"/>
    <n v="116.4"/>
    <n v="116.9"/>
    <n v="112.3"/>
    <n v="110.5"/>
    <n v="105.3"/>
    <n v="107.3"/>
    <n v="160.9"/>
    <n v="107.1"/>
    <n v="103.1"/>
    <n v="108.3"/>
    <n v="110.7"/>
    <n v="114.6"/>
    <n v="1381"/>
    <n v="118.3"/>
    <n v="112"/>
    <n v="437"/>
    <n v="112.2"/>
    <n v="110.4"/>
    <n v="334.5"/>
    <n v="111.9"/>
    <n v="109.7"/>
    <n v="219.3"/>
    <n v="110.5"/>
    <n v="109.6"/>
    <n v="108.1"/>
    <n v="109.9"/>
    <n v="107.5"/>
    <n v="110.6"/>
    <n v="106.8"/>
    <n v="109"/>
    <n v="113.7"/>
    <n v="440.6"/>
    <n v="110.15"/>
  </r>
  <r>
    <s v="Rural"/>
    <x v="0"/>
    <x v="9"/>
    <n v="116.3"/>
    <n v="115.4"/>
    <n v="112.6"/>
    <n v="111.7"/>
    <n v="107.7"/>
    <n v="113.2"/>
    <n v="164.9"/>
    <n v="108.3"/>
    <n v="103.9"/>
    <n v="108.2"/>
    <n v="111.1"/>
    <n v="114.9"/>
    <n v="1396.9"/>
    <n v="119.8"/>
    <n v="112.2"/>
    <n v="439.1"/>
    <n v="113.6"/>
    <n v="112.3"/>
    <n v="339.29999999999995"/>
    <n v="113.4"/>
    <n v="110.5"/>
    <n v="220.9"/>
    <n v="111.6"/>
    <n v="110.4"/>
    <n v="108.9"/>
    <n v="109.3"/>
    <n v="108.3"/>
    <n v="110.2"/>
    <n v="107.5"/>
    <n v="109.1"/>
    <n v="115.5"/>
    <n v="441.5"/>
    <n v="110.375"/>
  </r>
  <r>
    <s v="Urban"/>
    <x v="0"/>
    <x v="9"/>
    <n v="118.9"/>
    <n v="118.1"/>
    <n v="114.5"/>
    <n v="110.4"/>
    <n v="102.3"/>
    <n v="106.2"/>
    <n v="183.5"/>
    <n v="105.3"/>
    <n v="100.2"/>
    <n v="109.6"/>
    <n v="111.4"/>
    <n v="116"/>
    <n v="1405.8"/>
    <n v="120.8"/>
    <n v="113.5"/>
    <n v="440.2"/>
    <n v="112.5"/>
    <n v="109.7"/>
    <n v="334.2"/>
    <n v="112"/>
    <n v="110.5"/>
    <n v="220.7"/>
    <n v="109.7"/>
    <n v="110.2"/>
    <n v="108.2"/>
    <n v="109.7"/>
    <n v="108"/>
    <n v="111.3"/>
    <n v="107.3"/>
    <n v="109.4"/>
    <n v="114"/>
    <n v="440.9"/>
    <n v="110.22499999999999"/>
  </r>
  <r>
    <s v="Rural+Urban"/>
    <x v="0"/>
    <x v="9"/>
    <n v="117.1"/>
    <n v="116.3"/>
    <n v="113.3"/>
    <n v="111.2"/>
    <n v="105.7"/>
    <n v="109.9"/>
    <n v="171.2"/>
    <n v="107.3"/>
    <n v="102.7"/>
    <n v="108.7"/>
    <n v="111.2"/>
    <n v="115.4"/>
    <n v="1399"/>
    <n v="120.2"/>
    <n v="112.5"/>
    <n v="439.19999999999993"/>
    <n v="113.2"/>
    <n v="111.2"/>
    <n v="337.2"/>
    <n v="112.8"/>
    <n v="110.5"/>
    <n v="220.8"/>
    <n v="110.9"/>
    <n v="110.3"/>
    <n v="108.6"/>
    <n v="109.5"/>
    <n v="108.1"/>
    <n v="110.8"/>
    <n v="107.4"/>
    <n v="109.2"/>
    <n v="114.8"/>
    <n v="441.50000000000006"/>
    <n v="110.375"/>
  </r>
  <r>
    <s v="Rural"/>
    <x v="0"/>
    <x v="10"/>
    <n v="117.3"/>
    <n v="114.9"/>
    <n v="116.2"/>
    <n v="112.8"/>
    <n v="108.9"/>
    <n v="116.6"/>
    <n v="178.1"/>
    <n v="109.1"/>
    <n v="103.6"/>
    <n v="109"/>
    <n v="111.8"/>
    <n v="116"/>
    <n v="1425"/>
    <n v="122.5"/>
    <n v="112.8"/>
    <n v="441.5"/>
    <n v="114.6"/>
    <n v="113.1"/>
    <n v="342.1"/>
    <n v="114.4"/>
    <n v="111.1"/>
    <n v="222.39999999999998"/>
    <n v="112.6"/>
    <n v="111.3"/>
    <n v="109.7"/>
    <n v="109.6"/>
    <n v="108.7"/>
    <n v="111"/>
    <n v="108.2"/>
    <n v="109.8"/>
    <n v="117.4"/>
    <n v="444.5"/>
    <n v="111.125"/>
  </r>
  <r>
    <s v="Urban"/>
    <x v="0"/>
    <x v="10"/>
    <n v="119.8"/>
    <n v="116.3"/>
    <n v="122.6"/>
    <n v="112"/>
    <n v="103.2"/>
    <n v="110"/>
    <n v="192.8"/>
    <n v="106.3"/>
    <n v="99.5"/>
    <n v="110.3"/>
    <n v="111.8"/>
    <n v="117.1"/>
    <n v="1432.8"/>
    <n v="122.9"/>
    <n v="114.1"/>
    <n v="442.29999999999995"/>
    <n v="113.5"/>
    <n v="110.3"/>
    <n v="336.8"/>
    <n v="113"/>
    <n v="111.1"/>
    <n v="222"/>
    <n v="110"/>
    <n v="110.9"/>
    <n v="108.6"/>
    <n v="109.5"/>
    <n v="108.5"/>
    <n v="111.3"/>
    <n v="107.9"/>
    <n v="109.6"/>
    <n v="115"/>
    <n v="441.70000000000005"/>
    <n v="110.42500000000001"/>
  </r>
  <r>
    <s v="Rural+Urban"/>
    <x v="0"/>
    <x v="10"/>
    <n v="118.1"/>
    <n v="115.4"/>
    <n v="118.7"/>
    <n v="112.5"/>
    <n v="106.8"/>
    <n v="113.5"/>
    <n v="183.1"/>
    <n v="108.2"/>
    <n v="102.2"/>
    <n v="109.4"/>
    <n v="111.8"/>
    <n v="116.5"/>
    <n v="1426.9999999999998"/>
    <n v="122.6"/>
    <n v="113.1"/>
    <n v="441.6"/>
    <n v="114.2"/>
    <n v="111.9"/>
    <n v="339.90000000000003"/>
    <n v="113.8"/>
    <n v="111.1"/>
    <n v="222.2"/>
    <n v="111.6"/>
    <n v="111.1"/>
    <n v="109.3"/>
    <n v="109.5"/>
    <n v="108.6"/>
    <n v="111.2"/>
    <n v="108.1"/>
    <n v="109.7"/>
    <n v="116.3"/>
    <n v="443.4"/>
    <n v="110.85"/>
  </r>
  <r>
    <s v="Rural"/>
    <x v="0"/>
    <x v="11"/>
    <n v="118.4"/>
    <n v="115.9"/>
    <n v="120.4"/>
    <n v="113.8"/>
    <n v="109.5"/>
    <n v="115.5"/>
    <n v="145.69999999999999"/>
    <n v="109.5"/>
    <n v="102.9"/>
    <n v="109.8"/>
    <n v="112.1"/>
    <n v="116.8"/>
    <n v="1396.9000000000003"/>
    <n v="118.7"/>
    <n v="113.6"/>
    <n v="443"/>
    <n v="115.8"/>
    <n v="114"/>
    <n v="345.3"/>
    <n v="115.5"/>
    <n v="110.7"/>
    <n v="222.8"/>
    <n v="112.8"/>
    <n v="112.1"/>
    <n v="110.1"/>
    <n v="109.9"/>
    <n v="109.2"/>
    <n v="111.6"/>
    <n v="108.1"/>
    <n v="110.1"/>
    <n v="115.5"/>
    <n v="446.4"/>
    <n v="111.60000000000001"/>
  </r>
  <r>
    <s v="Urban"/>
    <x v="0"/>
    <x v="11"/>
    <n v="120.5"/>
    <n v="118.1"/>
    <n v="128.5"/>
    <n v="112.8"/>
    <n v="103.4"/>
    <n v="110.7"/>
    <n v="144.80000000000001"/>
    <n v="107.1"/>
    <n v="98.6"/>
    <n v="111.9"/>
    <n v="112.1"/>
    <n v="118.1"/>
    <n v="1392.3"/>
    <n v="117.8"/>
    <n v="115"/>
    <n v="443.7"/>
    <n v="114.2"/>
    <n v="110.9"/>
    <n v="338.8"/>
    <n v="113.7"/>
    <n v="110.7"/>
    <n v="222"/>
    <n v="110.4"/>
    <n v="111.3"/>
    <n v="109"/>
    <n v="109.7"/>
    <n v="108.9"/>
    <n v="111.4"/>
    <n v="107.7"/>
    <n v="109.8"/>
    <n v="113.3"/>
    <n v="442.8"/>
    <n v="110.70000000000002"/>
  </r>
  <r>
    <s v="Rural+Urban"/>
    <x v="0"/>
    <x v="11"/>
    <n v="119.1"/>
    <n v="116.7"/>
    <n v="123.5"/>
    <n v="113.4"/>
    <n v="107.3"/>
    <n v="113.3"/>
    <n v="145.4"/>
    <n v="108.7"/>
    <n v="101.5"/>
    <n v="110.5"/>
    <n v="112.1"/>
    <n v="117.4"/>
    <n v="1395.2"/>
    <n v="118.4"/>
    <n v="114"/>
    <n v="443"/>
    <n v="115.2"/>
    <n v="112.7"/>
    <n v="342.7"/>
    <n v="114.8"/>
    <n v="110.7"/>
    <n v="222.4"/>
    <n v="111.9"/>
    <n v="111.7"/>
    <n v="109.7"/>
    <n v="109.8"/>
    <n v="109"/>
    <n v="111.5"/>
    <n v="107.9"/>
    <n v="110"/>
    <n v="114.5"/>
    <n v="444.90000000000003"/>
    <n v="111.22499999999999"/>
  </r>
  <r>
    <s v="Rural"/>
    <x v="1"/>
    <x v="0"/>
    <n v="118.9"/>
    <n v="117.1"/>
    <n v="120.5"/>
    <n v="114.4"/>
    <n v="109"/>
    <n v="115.5"/>
    <n v="123.9"/>
    <n v="109.6"/>
    <n v="101.8"/>
    <n v="110.2"/>
    <n v="112.4"/>
    <n v="117.3"/>
    <n v="1374.2"/>
    <n v="116"/>
    <n v="114"/>
    <n v="444.3"/>
    <n v="116.5"/>
    <n v="114.5"/>
    <n v="347.2"/>
    <n v="116.2"/>
    <n v="111.6"/>
    <n v="224.2"/>
    <n v="113"/>
    <n v="112.6"/>
    <n v="110.6"/>
    <n v="110.5"/>
    <n v="109.6"/>
    <n v="111.8"/>
    <n v="108.3"/>
    <n v="110.6"/>
    <n v="114.2"/>
    <n v="447.9"/>
    <n v="111.97499999999999"/>
  </r>
  <r>
    <s v="Urban"/>
    <x v="1"/>
    <x v="0"/>
    <n v="121.2"/>
    <n v="122"/>
    <n v="129.9"/>
    <n v="113.6"/>
    <n v="102.9"/>
    <n v="112.1"/>
    <n v="118.9"/>
    <n v="107.5"/>
    <n v="96.9"/>
    <n v="112.7"/>
    <n v="112.1"/>
    <n v="119"/>
    <n v="1372.2"/>
    <n v="115.5"/>
    <n v="115.7"/>
    <n v="445.6"/>
    <n v="114.8"/>
    <n v="111.3"/>
    <n v="340.4"/>
    <n v="114.3"/>
    <n v="111.6"/>
    <n v="223.5"/>
    <n v="111"/>
    <n v="111.9"/>
    <n v="109.7"/>
    <n v="110.8"/>
    <n v="109.8"/>
    <n v="111.5"/>
    <n v="108"/>
    <n v="110.5"/>
    <n v="112.9"/>
    <n v="445.20000000000005"/>
    <n v="111.30000000000001"/>
  </r>
  <r>
    <s v="Rural+Urban"/>
    <x v="1"/>
    <x v="0"/>
    <n v="119.6"/>
    <n v="118.8"/>
    <n v="124.1"/>
    <n v="114.1"/>
    <n v="106.8"/>
    <n v="113.9"/>
    <n v="122.2"/>
    <n v="108.9"/>
    <n v="100.2"/>
    <n v="111"/>
    <n v="112.3"/>
    <n v="118.1"/>
    <n v="1373.5"/>
    <n v="115.8"/>
    <n v="114.5"/>
    <n v="444.7"/>
    <n v="115.8"/>
    <n v="113.2"/>
    <n v="344.4"/>
    <n v="115.4"/>
    <n v="111.6"/>
    <n v="223.89999999999998"/>
    <n v="112.2"/>
    <n v="112.3"/>
    <n v="110.3"/>
    <n v="110.7"/>
    <n v="109.7"/>
    <n v="111.6"/>
    <n v="108.2"/>
    <n v="110.6"/>
    <n v="113.6"/>
    <n v="446.8"/>
    <n v="111.7"/>
  </r>
  <r>
    <s v="Rural"/>
    <x v="1"/>
    <x v="1"/>
    <n v="119.4"/>
    <n v="117.7"/>
    <n v="121.2"/>
    <n v="115"/>
    <n v="109"/>
    <n v="116.6"/>
    <n v="116"/>
    <n v="109.8"/>
    <n v="101.1"/>
    <n v="110.4"/>
    <n v="112.9"/>
    <n v="117.8"/>
    <n v="1369.3"/>
    <n v="115.3"/>
    <n v="114.2"/>
    <n v="445.7"/>
    <n v="117.1"/>
    <n v="114.5"/>
    <n v="348.3"/>
    <n v="116.7"/>
    <n v="112.5"/>
    <n v="225.4"/>
    <n v="113.2"/>
    <n v="112.9"/>
    <n v="110.9"/>
    <n v="110.8"/>
    <n v="109.9"/>
    <n v="112"/>
    <n v="108.7"/>
    <n v="110.9"/>
    <n v="114"/>
    <n v="448.9"/>
    <n v="112.22500000000001"/>
  </r>
  <r>
    <s v="Urban"/>
    <x v="1"/>
    <x v="1"/>
    <n v="121.9"/>
    <n v="122"/>
    <n v="124.5"/>
    <n v="115.2"/>
    <n v="102.5"/>
    <n v="114.1"/>
    <n v="111.5"/>
    <n v="108.2"/>
    <n v="95.4"/>
    <n v="113.5"/>
    <n v="112.1"/>
    <n v="119.9"/>
    <n v="1363.9000000000003"/>
    <n v="115.2"/>
    <n v="116.2"/>
    <n v="447.3"/>
    <n v="115.3"/>
    <n v="111.7"/>
    <n v="341.7"/>
    <n v="114.7"/>
    <n v="112.5"/>
    <n v="225.1"/>
    <n v="111.1"/>
    <n v="112.6"/>
    <n v="110.4"/>
    <n v="111.3"/>
    <n v="110.3"/>
    <n v="111.6"/>
    <n v="108.7"/>
    <n v="111"/>
    <n v="113.1"/>
    <n v="446.6"/>
    <n v="111.65"/>
  </r>
  <r>
    <s v="Rural+Urban"/>
    <x v="1"/>
    <x v="1"/>
    <n v="120.2"/>
    <n v="119.2"/>
    <n v="122.5"/>
    <n v="115.1"/>
    <n v="106.6"/>
    <n v="115.4"/>
    <n v="114.5"/>
    <n v="109.3"/>
    <n v="99.2"/>
    <n v="111.4"/>
    <n v="112.6"/>
    <n v="118.8"/>
    <n v="1367.5"/>
    <n v="115.3"/>
    <n v="114.7"/>
    <n v="446.09999999999997"/>
    <n v="116.4"/>
    <n v="113.3"/>
    <n v="345.6"/>
    <n v="115.9"/>
    <n v="112.5"/>
    <n v="225.3"/>
    <n v="112.4"/>
    <n v="112.8"/>
    <n v="110.7"/>
    <n v="111.1"/>
    <n v="110.1"/>
    <n v="111.8"/>
    <n v="108.7"/>
    <n v="110.9"/>
    <n v="113.6"/>
    <n v="448.09999999999997"/>
    <n v="112.02500000000001"/>
  </r>
  <r>
    <s v="Rural"/>
    <x v="1"/>
    <x v="2"/>
    <n v="120.1"/>
    <n v="118.1"/>
    <n v="120.7"/>
    <n v="116.1"/>
    <n v="109.3"/>
    <n v="119.6"/>
    <n v="117.9"/>
    <n v="110.2"/>
    <n v="101.2"/>
    <n v="110.7"/>
    <n v="113"/>
    <n v="118.3"/>
    <n v="1378.3999999999999"/>
    <n v="116.2"/>
    <n v="114.6"/>
    <n v="446.70000000000005"/>
    <n v="117.5"/>
    <n v="114.9"/>
    <n v="349.6"/>
    <n v="117.2"/>
    <n v="113.2"/>
    <n v="226.60000000000002"/>
    <n v="113.4"/>
    <n v="113.4"/>
    <n v="111.4"/>
    <n v="111.2"/>
    <n v="110.2"/>
    <n v="112.4"/>
    <n v="108.9"/>
    <n v="111.3"/>
    <n v="114.6"/>
    <n v="450.4"/>
    <n v="112.6"/>
  </r>
  <r>
    <s v="Urban"/>
    <x v="1"/>
    <x v="2"/>
    <n v="122.1"/>
    <n v="121.4"/>
    <n v="121.5"/>
    <n v="116.2"/>
    <n v="102.8"/>
    <n v="117.7"/>
    <n v="113.3"/>
    <n v="108.9"/>
    <n v="96.3"/>
    <n v="114.1"/>
    <n v="112.2"/>
    <n v="120.5"/>
    <n v="1370.8"/>
    <n v="116"/>
    <n v="116.7"/>
    <n v="449"/>
    <n v="115.8"/>
    <n v="112.1"/>
    <n v="343.09999999999997"/>
    <n v="115.2"/>
    <n v="113.2"/>
    <n v="226.2"/>
    <n v="110.9"/>
    <n v="113"/>
    <n v="110.8"/>
    <n v="111.6"/>
    <n v="110.9"/>
    <n v="111.8"/>
    <n v="109.2"/>
    <n v="111.4"/>
    <n v="113.7"/>
    <n v="447.29999999999995"/>
    <n v="111.82499999999999"/>
  </r>
  <r>
    <s v="Rural+Urban"/>
    <x v="1"/>
    <x v="2"/>
    <n v="120.7"/>
    <n v="119.3"/>
    <n v="121"/>
    <n v="116.1"/>
    <n v="106.9"/>
    <n v="118.7"/>
    <n v="116.3"/>
    <n v="109.8"/>
    <n v="99.6"/>
    <n v="111.8"/>
    <n v="112.7"/>
    <n v="119.3"/>
    <n v="1375.6"/>
    <n v="116.1"/>
    <n v="115.2"/>
    <n v="447.5"/>
    <n v="116.8"/>
    <n v="113.7"/>
    <n v="346.9"/>
    <n v="116.4"/>
    <n v="113.2"/>
    <n v="226.4"/>
    <n v="112.5"/>
    <n v="113.2"/>
    <n v="111.2"/>
    <n v="111.4"/>
    <n v="110.6"/>
    <n v="112"/>
    <n v="109"/>
    <n v="111.3"/>
    <n v="114.2"/>
    <n v="449.09999999999997"/>
    <n v="112.27500000000001"/>
  </r>
  <r>
    <s v="Rural"/>
    <x v="1"/>
    <x v="3"/>
    <n v="120.2"/>
    <n v="118.9"/>
    <n v="118.1"/>
    <n v="117"/>
    <n v="109.7"/>
    <n v="125.5"/>
    <n v="120.5"/>
    <n v="111"/>
    <n v="102.6"/>
    <n v="111.2"/>
    <n v="113.5"/>
    <n v="118.7"/>
    <n v="1390.6000000000001"/>
    <n v="117.2"/>
    <n v="115.4"/>
    <n v="448.29999999999995"/>
    <n v="118.1"/>
    <n v="116.1"/>
    <n v="352"/>
    <n v="117.8"/>
    <n v="113.9"/>
    <n v="227.60000000000002"/>
    <n v="113.4"/>
    <n v="113.7"/>
    <n v="111.8"/>
    <n v="111.2"/>
    <n v="110.5"/>
    <n v="113"/>
    <n v="108.9"/>
    <n v="111.5"/>
    <n v="115.4"/>
    <n v="451.3"/>
    <n v="112.82499999999999"/>
  </r>
  <r>
    <s v="Urban"/>
    <x v="1"/>
    <x v="3"/>
    <n v="122.5"/>
    <n v="121.7"/>
    <n v="113.3"/>
    <n v="117"/>
    <n v="103.1"/>
    <n v="126.7"/>
    <n v="121.2"/>
    <n v="111"/>
    <n v="100.3"/>
    <n v="115.3"/>
    <n v="112.7"/>
    <n v="121"/>
    <n v="1391.3000000000002"/>
    <n v="118.2"/>
    <n v="117.6"/>
    <n v="450.6"/>
    <n v="116.3"/>
    <n v="112.5"/>
    <n v="344.5"/>
    <n v="115.7"/>
    <n v="113.9"/>
    <n v="227.3"/>
    <n v="110.9"/>
    <n v="113.4"/>
    <n v="111"/>
    <n v="111.2"/>
    <n v="111.2"/>
    <n v="112.5"/>
    <n v="109.1"/>
    <n v="111.4"/>
    <n v="114.7"/>
    <n v="448"/>
    <n v="112"/>
  </r>
  <r>
    <s v="Rural+Urban"/>
    <x v="1"/>
    <x v="3"/>
    <n v="120.9"/>
    <n v="119.9"/>
    <n v="116.2"/>
    <n v="117"/>
    <n v="107.3"/>
    <n v="126.1"/>
    <n v="120.7"/>
    <n v="111"/>
    <n v="101.8"/>
    <n v="112.6"/>
    <n v="113.2"/>
    <n v="119.8"/>
    <n v="1390.9"/>
    <n v="117.6"/>
    <n v="116"/>
    <n v="449.1"/>
    <n v="117.4"/>
    <n v="114.6"/>
    <n v="349"/>
    <n v="117"/>
    <n v="113.9"/>
    <n v="227.5"/>
    <n v="112.5"/>
    <n v="113.6"/>
    <n v="111.5"/>
    <n v="111.2"/>
    <n v="110.9"/>
    <n v="112.7"/>
    <n v="109"/>
    <n v="111.5"/>
    <n v="115.1"/>
    <n v="450"/>
    <n v="112.5"/>
  </r>
  <r>
    <s v="Rural"/>
    <x v="1"/>
    <x v="4"/>
    <n v="120.3"/>
    <n v="120.2"/>
    <n v="116.9"/>
    <n v="118"/>
    <n v="110.1"/>
    <n v="126.3"/>
    <n v="123.9"/>
    <n v="111.5"/>
    <n v="103.5"/>
    <n v="111.6"/>
    <n v="114.2"/>
    <n v="119.2"/>
    <n v="1399.7"/>
    <n v="118.2"/>
    <n v="116.3"/>
    <n v="450.29999999999995"/>
    <n v="118.7"/>
    <n v="116.8"/>
    <n v="354"/>
    <n v="118.5"/>
    <n v="114.3"/>
    <n v="228.39999999999998"/>
    <n v="113.4"/>
    <n v="114.1"/>
    <n v="112.1"/>
    <n v="111.4"/>
    <n v="110.9"/>
    <n v="113.1"/>
    <n v="108.9"/>
    <n v="111.8"/>
    <n v="116"/>
    <n v="452"/>
    <n v="113"/>
  </r>
  <r>
    <s v="Urban"/>
    <x v="1"/>
    <x v="4"/>
    <n v="122.7"/>
    <n v="124.1"/>
    <n v="114.2"/>
    <n v="119.1"/>
    <n v="103.5"/>
    <n v="129.19999999999999"/>
    <n v="127"/>
    <n v="112.6"/>
    <n v="101.3"/>
    <n v="117"/>
    <n v="112.9"/>
    <n v="121.7"/>
    <n v="1412.3999999999999"/>
    <n v="120"/>
    <n v="118.3"/>
    <n v="452"/>
    <n v="116.8"/>
    <n v="112.9"/>
    <n v="345.9"/>
    <n v="116.2"/>
    <n v="114.3"/>
    <n v="228.39999999999998"/>
    <n v="111.1"/>
    <n v="114.1"/>
    <n v="111.2"/>
    <n v="111.3"/>
    <n v="111.5"/>
    <n v="112.9"/>
    <n v="109.3"/>
    <n v="111.7"/>
    <n v="115.6"/>
    <n v="449.4"/>
    <n v="112.35"/>
  </r>
  <r>
    <s v="Rural+Urban"/>
    <x v="1"/>
    <x v="4"/>
    <n v="121.1"/>
    <n v="121.6"/>
    <n v="115.9"/>
    <n v="118.4"/>
    <n v="107.7"/>
    <n v="127.7"/>
    <n v="125"/>
    <n v="111.9"/>
    <n v="102.8"/>
    <n v="113.4"/>
    <n v="113.7"/>
    <n v="120.4"/>
    <n v="1404.8"/>
    <n v="118.9"/>
    <n v="116.8"/>
    <n v="450.79999999999995"/>
    <n v="118"/>
    <n v="115.2"/>
    <n v="350.79999999999995"/>
    <n v="117.6"/>
    <n v="114.3"/>
    <n v="228.39999999999998"/>
    <n v="112.5"/>
    <n v="114.1"/>
    <n v="111.8"/>
    <n v="111.3"/>
    <n v="111.2"/>
    <n v="113"/>
    <n v="109.1"/>
    <n v="111.8"/>
    <n v="115.8"/>
    <n v="450.9"/>
    <n v="112.72499999999999"/>
  </r>
  <r>
    <s v="Rural"/>
    <x v="1"/>
    <x v="5"/>
    <n v="120.7"/>
    <n v="121.6"/>
    <n v="116.1"/>
    <n v="119.3"/>
    <n v="110.3"/>
    <n v="125.8"/>
    <n v="129.30000000000001"/>
    <n v="112.2"/>
    <n v="103.6"/>
    <n v="112.3"/>
    <n v="114.9"/>
    <n v="120.1"/>
    <n v="1410.7999999999997"/>
    <n v="119.5"/>
    <n v="117.3"/>
    <n v="451.6"/>
    <n v="119.7"/>
    <n v="117.3"/>
    <n v="356.3"/>
    <n v="119.3"/>
    <n v="113.9"/>
    <n v="228.8"/>
    <n v="114.4"/>
    <n v="114.9"/>
    <n v="112.8"/>
    <n v="112.2"/>
    <n v="111.4"/>
    <n v="114.3"/>
    <n v="108"/>
    <n v="112.3"/>
    <n v="117"/>
    <n v="455.79999999999995"/>
    <n v="113.94999999999999"/>
  </r>
  <r>
    <s v="Urban"/>
    <x v="1"/>
    <x v="5"/>
    <n v="123.1"/>
    <n v="125.9"/>
    <n v="115.4"/>
    <n v="120.4"/>
    <n v="103.4"/>
    <n v="131.19999999999999"/>
    <n v="137.5"/>
    <n v="112.8"/>
    <n v="101.4"/>
    <n v="118.3"/>
    <n v="113.2"/>
    <n v="122.4"/>
    <n v="1433.8000000000002"/>
    <n v="122"/>
    <n v="119"/>
    <n v="452.7"/>
    <n v="117.4"/>
    <n v="113.2"/>
    <n v="347.3"/>
    <n v="116.7"/>
    <n v="113.9"/>
    <n v="228.2"/>
    <n v="111.2"/>
    <n v="114.3"/>
    <n v="111.4"/>
    <n v="111.5"/>
    <n v="111.8"/>
    <n v="115.1"/>
    <n v="108.7"/>
    <n v="112.2"/>
    <n v="116.4"/>
    <n v="452.1"/>
    <n v="113.02499999999999"/>
  </r>
  <r>
    <s v="Rural+Urban"/>
    <x v="1"/>
    <x v="5"/>
    <n v="121.5"/>
    <n v="123.1"/>
    <n v="115.8"/>
    <n v="119.7"/>
    <n v="107.8"/>
    <n v="128.30000000000001"/>
    <n v="132.1"/>
    <n v="112.4"/>
    <n v="102.9"/>
    <n v="114.3"/>
    <n v="114.2"/>
    <n v="121.2"/>
    <n v="1419.5"/>
    <n v="120.4"/>
    <n v="117.8"/>
    <n v="451.90000000000003"/>
    <n v="118.8"/>
    <n v="115.6"/>
    <n v="352.7"/>
    <n v="118.3"/>
    <n v="113.9"/>
    <n v="228.5"/>
    <n v="113.2"/>
    <n v="114.6"/>
    <n v="112.3"/>
    <n v="111.8"/>
    <n v="111.6"/>
    <n v="114.8"/>
    <n v="108.3"/>
    <n v="112.3"/>
    <n v="116.7"/>
    <n v="454.4"/>
    <n v="113.6"/>
  </r>
  <r>
    <s v="Rural"/>
    <x v="1"/>
    <x v="6"/>
    <n v="121.7"/>
    <n v="122.5"/>
    <n v="117.7"/>
    <n v="120.6"/>
    <n v="110.4"/>
    <n v="129.1"/>
    <n v="150.1"/>
    <n v="113.2"/>
    <n v="104.8"/>
    <n v="113.3"/>
    <n v="115.6"/>
    <n v="120.9"/>
    <n v="1447.6"/>
    <n v="123.3"/>
    <n v="118"/>
    <n v="454.2"/>
    <n v="120.7"/>
    <n v="118.3"/>
    <n v="359.3"/>
    <n v="120.3"/>
    <n v="114.8"/>
    <n v="230.2"/>
    <n v="115.3"/>
    <n v="115.4"/>
    <n v="113.4"/>
    <n v="113.2"/>
    <n v="111.8"/>
    <n v="115.5"/>
    <n v="108.8"/>
    <n v="113.1"/>
    <n v="119.5"/>
    <n v="459.4"/>
    <n v="114.85000000000001"/>
  </r>
  <r>
    <s v="Urban"/>
    <x v="1"/>
    <x v="6"/>
    <n v="123.8"/>
    <n v="126.4"/>
    <n v="118"/>
    <n v="121.6"/>
    <n v="103.5"/>
    <n v="133.69999999999999"/>
    <n v="172.4"/>
    <n v="113.1"/>
    <n v="102.7"/>
    <n v="120"/>
    <n v="113.8"/>
    <n v="123.4"/>
    <n v="1485.7"/>
    <n v="127.1"/>
    <n v="121"/>
    <n v="456.90000000000003"/>
    <n v="118"/>
    <n v="113.6"/>
    <n v="349"/>
    <n v="117.4"/>
    <n v="114.8"/>
    <n v="229.7"/>
    <n v="111.6"/>
    <n v="114.9"/>
    <n v="111.5"/>
    <n v="113"/>
    <n v="112.4"/>
    <n v="117.8"/>
    <n v="109.7"/>
    <n v="113.5"/>
    <n v="118.9"/>
    <n v="457.29999999999995"/>
    <n v="114.32500000000002"/>
  </r>
  <r>
    <s v="Rural+Urban"/>
    <x v="1"/>
    <x v="6"/>
    <n v="122.4"/>
    <n v="123.9"/>
    <n v="117.8"/>
    <n v="121"/>
    <n v="107.9"/>
    <n v="131.19999999999999"/>
    <n v="157.69999999999999"/>
    <n v="113.2"/>
    <n v="104.1"/>
    <n v="115.5"/>
    <n v="114.8"/>
    <n v="122.1"/>
    <n v="1461.5000000000002"/>
    <n v="124.7"/>
    <n v="118.8"/>
    <n v="454.9"/>
    <n v="119.6"/>
    <n v="116.3"/>
    <n v="355"/>
    <n v="119.1"/>
    <n v="114.8"/>
    <n v="230"/>
    <n v="113.9"/>
    <n v="115.2"/>
    <n v="112.7"/>
    <n v="113.1"/>
    <n v="112.1"/>
    <n v="116.8"/>
    <n v="109.2"/>
    <n v="113.3"/>
    <n v="119.2"/>
    <n v="458.99999999999994"/>
    <n v="114.75"/>
  </r>
  <r>
    <s v="Rural"/>
    <x v="1"/>
    <x v="7"/>
    <n v="121.8"/>
    <n v="122.8"/>
    <n v="117.8"/>
    <n v="121.9"/>
    <n v="110.6"/>
    <n v="129.69999999999999"/>
    <n v="161.1"/>
    <n v="114.1"/>
    <n v="105.1"/>
    <n v="114.6"/>
    <n v="115.8"/>
    <n v="121.7"/>
    <n v="1466.4999999999998"/>
    <n v="125.3"/>
    <n v="118.8"/>
    <n v="456.20000000000005"/>
    <n v="120.9"/>
    <n v="118.8"/>
    <n v="360.4"/>
    <n v="120.7"/>
    <n v="115.5"/>
    <n v="231.4"/>
    <n v="115.4"/>
    <n v="115.9"/>
    <n v="114"/>
    <n v="113.2"/>
    <n v="112.2"/>
    <n v="116.2"/>
    <n v="109.4"/>
    <n v="113.5"/>
    <n v="120.7"/>
    <n v="460.70000000000005"/>
    <n v="115.17500000000001"/>
  </r>
  <r>
    <s v="Urban"/>
    <x v="1"/>
    <x v="7"/>
    <n v="124.8"/>
    <n v="127.3"/>
    <n v="116.5"/>
    <n v="122.2"/>
    <n v="103.6"/>
    <n v="132.69999999999999"/>
    <n v="181.9"/>
    <n v="115.2"/>
    <n v="102.7"/>
    <n v="122.1"/>
    <n v="114.4"/>
    <n v="124.7"/>
    <n v="1502.6"/>
    <n v="128.9"/>
    <n v="123"/>
    <n v="460.8"/>
    <n v="118.6"/>
    <n v="114.1"/>
    <n v="350.6"/>
    <n v="117.9"/>
    <n v="115.5"/>
    <n v="230.8"/>
    <n v="111.8"/>
    <n v="115.3"/>
    <n v="112.2"/>
    <n v="112.5"/>
    <n v="112.9"/>
    <n v="119.2"/>
    <n v="110.5"/>
    <n v="113.9"/>
    <n v="119.9"/>
    <n v="458.8"/>
    <n v="114.7"/>
  </r>
  <r>
    <s v="Rural+Urban"/>
    <x v="1"/>
    <x v="7"/>
    <n v="122.7"/>
    <n v="124.4"/>
    <n v="117.3"/>
    <n v="122"/>
    <n v="108"/>
    <n v="131.1"/>
    <n v="168.2"/>
    <n v="114.5"/>
    <n v="104.3"/>
    <n v="117.1"/>
    <n v="115.2"/>
    <n v="123.1"/>
    <n v="1479.3000000000002"/>
    <n v="126.6"/>
    <n v="119.9"/>
    <n v="457.6"/>
    <n v="120"/>
    <n v="116.8"/>
    <n v="356.4"/>
    <n v="119.6"/>
    <n v="115.5"/>
    <n v="231.1"/>
    <n v="114"/>
    <n v="115.6"/>
    <n v="113.3"/>
    <n v="112.8"/>
    <n v="112.6"/>
    <n v="118"/>
    <n v="109.9"/>
    <n v="113.7"/>
    <n v="120.3"/>
    <n v="460.4"/>
    <n v="115.1"/>
  </r>
  <r>
    <s v="Rural"/>
    <x v="1"/>
    <x v="8"/>
    <n v="122.3"/>
    <n v="122.4"/>
    <n v="117.8"/>
    <n v="122.7"/>
    <n v="110.4"/>
    <n v="129.80000000000001"/>
    <n v="158.80000000000001"/>
    <n v="115"/>
    <n v="104.7"/>
    <n v="114.9"/>
    <n v="116.5"/>
    <n v="122.6"/>
    <n v="1466.7"/>
    <n v="125.3"/>
    <n v="119.5"/>
    <n v="457.70000000000005"/>
    <n v="121.7"/>
    <n v="119.2"/>
    <n v="362.2"/>
    <n v="121.3"/>
    <n v="116.1"/>
    <n v="232.8"/>
    <n v="115.8"/>
    <n v="116.7"/>
    <n v="114.5"/>
    <n v="112.8"/>
    <n v="112.6"/>
    <n v="116.6"/>
    <n v="109.1"/>
    <n v="113.7"/>
    <n v="120.9"/>
    <n v="461.9"/>
    <n v="115.47499999999999"/>
  </r>
  <r>
    <s v="Urban"/>
    <x v="1"/>
    <x v="8"/>
    <n v="124.2"/>
    <n v="125.4"/>
    <n v="116.4"/>
    <n v="122.7"/>
    <n v="103.5"/>
    <n v="124.5"/>
    <n v="168.6"/>
    <n v="116.9"/>
    <n v="101.9"/>
    <n v="122.9"/>
    <n v="114.8"/>
    <n v="125.2"/>
    <n v="1478.9000000000003"/>
    <n v="126.7"/>
    <n v="124.3"/>
    <n v="462.5"/>
    <n v="119.2"/>
    <n v="114.5"/>
    <n v="352.1"/>
    <n v="118.4"/>
    <n v="116.1"/>
    <n v="231.6"/>
    <n v="111.8"/>
    <n v="115.5"/>
    <n v="112.3"/>
    <n v="111.2"/>
    <n v="113.4"/>
    <n v="120"/>
    <n v="110"/>
    <n v="113.6"/>
    <n v="119.2"/>
    <n v="458.5"/>
    <n v="114.625"/>
  </r>
  <r>
    <s v="Rural+Urban"/>
    <x v="1"/>
    <x v="8"/>
    <n v="122.9"/>
    <n v="123.5"/>
    <n v="117.3"/>
    <n v="122.7"/>
    <n v="107.9"/>
    <n v="127.3"/>
    <n v="162.1"/>
    <n v="115.6"/>
    <n v="103.8"/>
    <n v="117.6"/>
    <n v="115.8"/>
    <n v="123.8"/>
    <n v="1470.3"/>
    <n v="125.8"/>
    <n v="120.8"/>
    <n v="459.2"/>
    <n v="120.7"/>
    <n v="117.2"/>
    <n v="358"/>
    <n v="120.1"/>
    <n v="116.1"/>
    <n v="232.2"/>
    <n v="114.3"/>
    <n v="116.1"/>
    <n v="113.7"/>
    <n v="112"/>
    <n v="113.1"/>
    <n v="118.6"/>
    <n v="109.5"/>
    <n v="113.7"/>
    <n v="120.1"/>
    <n v="461"/>
    <n v="115.25"/>
  </r>
  <r>
    <s v="Rural"/>
    <x v="1"/>
    <x v="9"/>
    <n v="122.6"/>
    <n v="122.5"/>
    <n v="118.3"/>
    <n v="123.2"/>
    <n v="110.5"/>
    <n v="128.9"/>
    <n v="155.30000000000001"/>
    <n v="115.5"/>
    <n v="104"/>
    <n v="115.3"/>
    <n v="116.8"/>
    <n v="123.2"/>
    <n v="1464.3999999999999"/>
    <n v="125.1"/>
    <n v="120"/>
    <n v="459.1"/>
    <n v="122.7"/>
    <n v="120.3"/>
    <n v="365.3"/>
    <n v="122.3"/>
    <n v="116.7"/>
    <n v="234.2"/>
    <n v="116.4"/>
    <n v="117.5"/>
    <n v="115.3"/>
    <n v="112.6"/>
    <n v="113"/>
    <n v="116.9"/>
    <n v="109.3"/>
    <n v="114"/>
    <n v="121"/>
    <n v="463.4"/>
    <n v="115.85"/>
  </r>
  <r>
    <s v="Urban"/>
    <x v="1"/>
    <x v="9"/>
    <n v="124.6"/>
    <n v="126.1"/>
    <n v="117.8"/>
    <n v="123.1"/>
    <n v="103.5"/>
    <n v="123.5"/>
    <n v="159.6"/>
    <n v="117.4"/>
    <n v="101.2"/>
    <n v="123.8"/>
    <n v="115.2"/>
    <n v="125.9"/>
    <n v="1472.2999999999997"/>
    <n v="125.8"/>
    <n v="124.3"/>
    <n v="463.20000000000005"/>
    <n v="119.6"/>
    <n v="114.9"/>
    <n v="353.4"/>
    <n v="118.9"/>
    <n v="116.7"/>
    <n v="232.5"/>
    <n v="112"/>
    <n v="115.8"/>
    <n v="112.6"/>
    <n v="111"/>
    <n v="113.6"/>
    <n v="120.2"/>
    <n v="110.1"/>
    <n v="113.7"/>
    <n v="119.1"/>
    <n v="459"/>
    <n v="114.75"/>
  </r>
  <r>
    <s v="Rural+Urban"/>
    <x v="1"/>
    <x v="9"/>
    <n v="123.2"/>
    <n v="123.8"/>
    <n v="118.1"/>
    <n v="123.2"/>
    <n v="107.9"/>
    <n v="126.4"/>
    <n v="156.80000000000001"/>
    <n v="116.1"/>
    <n v="103.1"/>
    <n v="118.1"/>
    <n v="116.1"/>
    <n v="124.5"/>
    <n v="1466.6"/>
    <n v="125.4"/>
    <n v="121.1"/>
    <n v="460.1"/>
    <n v="121.5"/>
    <n v="118.1"/>
    <n v="360.6"/>
    <n v="121"/>
    <n v="116.7"/>
    <n v="233.4"/>
    <n v="114.7"/>
    <n v="116.7"/>
    <n v="114.3"/>
    <n v="111.8"/>
    <n v="113.3"/>
    <n v="118.8"/>
    <n v="109.6"/>
    <n v="113.9"/>
    <n v="120.1"/>
    <n v="462"/>
    <n v="115.5"/>
  </r>
  <r>
    <s v="Rural"/>
    <x v="1"/>
    <x v="10"/>
    <n v="122.7"/>
    <n v="122.6"/>
    <n v="119.9"/>
    <n v="124"/>
    <n v="110.5"/>
    <n v="128.80000000000001"/>
    <n v="152"/>
    <n v="116.2"/>
    <n v="103.3"/>
    <n v="115.8"/>
    <n v="116.8"/>
    <n v="124.5"/>
    <n v="1465.2"/>
    <n v="124.9"/>
    <n v="120.8"/>
    <n v="459.7"/>
    <n v="123.3"/>
    <n v="120.5"/>
    <n v="366.70000000000005"/>
    <n v="122.9"/>
    <n v="117.1"/>
    <n v="235.2"/>
    <n v="117.3"/>
    <n v="118.1"/>
    <n v="115.9"/>
    <n v="112"/>
    <n v="113.3"/>
    <n v="117.2"/>
    <n v="108.8"/>
    <n v="114.1"/>
    <n v="121.1"/>
    <n v="464.6"/>
    <n v="116.14999999999999"/>
  </r>
  <r>
    <s v="Urban"/>
    <x v="1"/>
    <x v="10"/>
    <n v="124.5"/>
    <n v="125.6"/>
    <n v="122.7"/>
    <n v="124.6"/>
    <n v="103.2"/>
    <n v="122.2"/>
    <n v="153.19999999999999"/>
    <n v="119.3"/>
    <n v="99.8"/>
    <n v="124.6"/>
    <n v="115.8"/>
    <n v="126.9"/>
    <n v="1472"/>
    <n v="125.4"/>
    <n v="125.8"/>
    <n v="465.20000000000005"/>
    <n v="120.3"/>
    <n v="115.4"/>
    <n v="355.2"/>
    <n v="119.5"/>
    <n v="117.1"/>
    <n v="233.5"/>
    <n v="112.6"/>
    <n v="116.4"/>
    <n v="113"/>
    <n v="109.7"/>
    <n v="114"/>
    <n v="120.3"/>
    <n v="109.6"/>
    <n v="113.4"/>
    <n v="119"/>
    <n v="459"/>
    <n v="114.75"/>
  </r>
  <r>
    <s v="Rural+Urban"/>
    <x v="1"/>
    <x v="10"/>
    <n v="123.3"/>
    <n v="123.7"/>
    <n v="121"/>
    <n v="124.2"/>
    <n v="107.8"/>
    <n v="125.7"/>
    <n v="152.4"/>
    <n v="117.2"/>
    <n v="102.1"/>
    <n v="118.7"/>
    <n v="116.4"/>
    <n v="125.6"/>
    <n v="1466.8"/>
    <n v="125.1"/>
    <n v="122.1"/>
    <n v="461.29999999999995"/>
    <n v="122.1"/>
    <n v="118.4"/>
    <n v="362.1"/>
    <n v="121.6"/>
    <n v="117.1"/>
    <n v="234.39999999999998"/>
    <n v="115.5"/>
    <n v="117.3"/>
    <n v="114.8"/>
    <n v="110.8"/>
    <n v="113.7"/>
    <n v="119"/>
    <n v="109.1"/>
    <n v="113.8"/>
    <n v="120.1"/>
    <n v="462.6"/>
    <n v="115.65"/>
  </r>
  <r>
    <s v="Rural"/>
    <x v="1"/>
    <x v="11"/>
    <n v="122.4"/>
    <n v="122.4"/>
    <n v="121.8"/>
    <n v="124.2"/>
    <n v="110.2"/>
    <n v="128.6"/>
    <n v="140.30000000000001"/>
    <n v="116.3"/>
    <n v="102"/>
    <n v="116"/>
    <n v="117.3"/>
    <n v="124.8"/>
    <n v="1452.3000000000004"/>
    <n v="123.3"/>
    <n v="121.7"/>
    <n v="461.70000000000005"/>
    <n v="123.8"/>
    <n v="120.6"/>
    <n v="367.7"/>
    <n v="123.3"/>
    <n v="116.5"/>
    <n v="234.7"/>
    <n v="117.4"/>
    <n v="118.2"/>
    <n v="116.2"/>
    <n v="111.5"/>
    <n v="113.3"/>
    <n v="117.7"/>
    <n v="109.4"/>
    <n v="114.2"/>
    <n v="120.3"/>
    <n v="464.8"/>
    <n v="116.19999999999999"/>
  </r>
  <r>
    <s v="Urban"/>
    <x v="1"/>
    <x v="11"/>
    <n v="124"/>
    <n v="124.7"/>
    <n v="126.3"/>
    <n v="124.9"/>
    <n v="103"/>
    <n v="122.3"/>
    <n v="141"/>
    <n v="120.1"/>
    <n v="97.8"/>
    <n v="125.4"/>
    <n v="116.1"/>
    <n v="127.6"/>
    <n v="1461.1"/>
    <n v="124"/>
    <n v="126.4"/>
    <n v="467.20000000000005"/>
    <n v="120.7"/>
    <n v="115.8"/>
    <n v="356.5"/>
    <n v="120"/>
    <n v="116.5"/>
    <n v="233.3"/>
    <n v="113"/>
    <n v="116.8"/>
    <n v="113.2"/>
    <n v="108.8"/>
    <n v="114.3"/>
    <n v="120.7"/>
    <n v="110.4"/>
    <n v="113.4"/>
    <n v="118.4"/>
    <n v="459.3"/>
    <n v="114.825"/>
  </r>
  <r>
    <s v="Rural+Urban"/>
    <x v="1"/>
    <x v="11"/>
    <n v="122.9"/>
    <n v="123.2"/>
    <n v="123.5"/>
    <n v="124.5"/>
    <n v="107.6"/>
    <n v="125.7"/>
    <n v="140.5"/>
    <n v="117.6"/>
    <n v="100.6"/>
    <n v="119.1"/>
    <n v="116.8"/>
    <n v="126.1"/>
    <n v="1454.9"/>
    <n v="123.6"/>
    <n v="123"/>
    <n v="463.50000000000006"/>
    <n v="122.6"/>
    <n v="118.6"/>
    <n v="363.2"/>
    <n v="122"/>
    <n v="116.5"/>
    <n v="234"/>
    <n v="115.7"/>
    <n v="117.5"/>
    <n v="115.1"/>
    <n v="110.1"/>
    <n v="113.9"/>
    <n v="119.5"/>
    <n v="109.8"/>
    <n v="113.8"/>
    <n v="119.4"/>
    <n v="462.8"/>
    <n v="115.7"/>
  </r>
  <r>
    <s v="Rural"/>
    <x v="2"/>
    <x v="0"/>
    <n v="123.1"/>
    <n v="123.1"/>
    <n v="122.1"/>
    <n v="124.9"/>
    <n v="111"/>
    <n v="130.4"/>
    <n v="132.30000000000001"/>
    <n v="117.2"/>
    <n v="100.5"/>
    <n v="117.2"/>
    <n v="117.9"/>
    <n v="125.6"/>
    <n v="1450.1999999999996"/>
    <n v="122.8"/>
    <n v="122.7"/>
    <n v="464.8"/>
    <n v="124.4"/>
    <n v="121.6"/>
    <n v="370"/>
    <n v="124"/>
    <n v="117.3"/>
    <n v="236.2"/>
    <n v="118.4"/>
    <n v="118.9"/>
    <n v="116.6"/>
    <n v="111"/>
    <n v="114"/>
    <n v="118.2"/>
    <n v="110.2"/>
    <n v="114.5"/>
    <n v="120.3"/>
    <n v="466.5"/>
    <n v="116.625"/>
  </r>
  <r>
    <s v="Urban"/>
    <x v="2"/>
    <x v="0"/>
    <n v="124"/>
    <n v="125.5"/>
    <n v="126.6"/>
    <n v="125.2"/>
    <n v="104.3"/>
    <n v="121.3"/>
    <n v="134.4"/>
    <n v="122.9"/>
    <n v="96.1"/>
    <n v="126.6"/>
    <n v="116.5"/>
    <n v="128"/>
    <n v="1458.3999999999999"/>
    <n v="123.5"/>
    <n v="127.4"/>
    <n v="469.9"/>
    <n v="121"/>
    <n v="116.1"/>
    <n v="357.3"/>
    <n v="120.2"/>
    <n v="117.3"/>
    <n v="234.5"/>
    <n v="113.4"/>
    <n v="117.2"/>
    <n v="113.7"/>
    <n v="107.9"/>
    <n v="114.6"/>
    <n v="120.8"/>
    <n v="111.4"/>
    <n v="113.4"/>
    <n v="118.5"/>
    <n v="459.3"/>
    <n v="114.82499999999999"/>
  </r>
  <r>
    <s v="Rural+Urban"/>
    <x v="2"/>
    <x v="0"/>
    <n v="123.4"/>
    <n v="123.9"/>
    <n v="123.8"/>
    <n v="125"/>
    <n v="108.5"/>
    <n v="126.2"/>
    <n v="133"/>
    <n v="119.1"/>
    <n v="99"/>
    <n v="120.3"/>
    <n v="117.3"/>
    <n v="126.7"/>
    <n v="1452.0000000000002"/>
    <n v="123.1"/>
    <n v="124"/>
    <n v="466.3"/>
    <n v="123.1"/>
    <n v="119.3"/>
    <n v="364.9"/>
    <n v="122.5"/>
    <n v="117.3"/>
    <n v="235.39999999999998"/>
    <n v="116.5"/>
    <n v="118.1"/>
    <n v="115.5"/>
    <n v="109.4"/>
    <n v="114.3"/>
    <n v="119.7"/>
    <n v="110.7"/>
    <n v="114"/>
    <n v="119.5"/>
    <n v="463.70000000000005"/>
    <n v="115.92500000000001"/>
  </r>
  <r>
    <s v="Rural"/>
    <x v="2"/>
    <x v="1"/>
    <n v="123.4"/>
    <n v="124.4"/>
    <n v="122.1"/>
    <n v="125.8"/>
    <n v="111.5"/>
    <n v="129.4"/>
    <n v="128.19999999999999"/>
    <n v="118.8"/>
    <n v="100"/>
    <n v="118.6"/>
    <n v="118.8"/>
    <n v="126.8"/>
    <n v="1451.8"/>
    <n v="122.8"/>
    <n v="124.2"/>
    <n v="468.6"/>
    <n v="125.4"/>
    <n v="122.7"/>
    <n v="373.1"/>
    <n v="125"/>
    <n v="118.1"/>
    <n v="237.7"/>
    <n v="120"/>
    <n v="119.6"/>
    <n v="117.7"/>
    <n v="110.9"/>
    <n v="114.8"/>
    <n v="118.7"/>
    <n v="110.8"/>
    <n v="115"/>
    <n v="120.6"/>
    <n v="469.20000000000005"/>
    <n v="117.30000000000001"/>
  </r>
  <r>
    <s v="Urban"/>
    <x v="2"/>
    <x v="1"/>
    <n v="124.3"/>
    <n v="126.5"/>
    <n v="119.5"/>
    <n v="125.6"/>
    <n v="104.9"/>
    <n v="121.6"/>
    <n v="131.80000000000001"/>
    <n v="125.1"/>
    <n v="95"/>
    <n v="127.7"/>
    <n v="116.8"/>
    <n v="128.6"/>
    <n v="1454.3000000000002"/>
    <n v="123.7"/>
    <n v="128.1"/>
    <n v="471.49999999999994"/>
    <n v="121.3"/>
    <n v="116.5"/>
    <n v="358.4"/>
    <n v="120.6"/>
    <n v="118.1"/>
    <n v="235.8"/>
    <n v="114"/>
    <n v="117.7"/>
    <n v="114.1"/>
    <n v="106.8"/>
    <n v="114.9"/>
    <n v="120.4"/>
    <n v="111.7"/>
    <n v="113.2"/>
    <n v="118.7"/>
    <n v="458.9"/>
    <n v="114.72499999999999"/>
  </r>
  <r>
    <s v="Rural+Urban"/>
    <x v="2"/>
    <x v="1"/>
    <n v="123.7"/>
    <n v="125.1"/>
    <n v="121.1"/>
    <n v="125.7"/>
    <n v="109.1"/>
    <n v="125.8"/>
    <n v="129.4"/>
    <n v="120.9"/>
    <n v="98.3"/>
    <n v="121.6"/>
    <n v="118"/>
    <n v="127.6"/>
    <n v="1451.3999999999999"/>
    <n v="123.1"/>
    <n v="125.2"/>
    <n v="469.3"/>
    <n v="123.8"/>
    <n v="120.1"/>
    <n v="367.2"/>
    <n v="123.3"/>
    <n v="118.1"/>
    <n v="236.8"/>
    <n v="117.7"/>
    <n v="118.7"/>
    <n v="116.3"/>
    <n v="108.7"/>
    <n v="114.9"/>
    <n v="119.7"/>
    <n v="111.2"/>
    <n v="114.1"/>
    <n v="119.7"/>
    <n v="464.8"/>
    <n v="116.2"/>
  </r>
  <r>
    <s v="Rural"/>
    <x v="2"/>
    <x v="2"/>
    <n v="123.3"/>
    <n v="124.7"/>
    <n v="118.9"/>
    <n v="126"/>
    <n v="111.8"/>
    <n v="130.9"/>
    <n v="128"/>
    <n v="119.9"/>
    <n v="98.9"/>
    <n v="119.4"/>
    <n v="118.9"/>
    <n v="127.7"/>
    <n v="1452.6"/>
    <n v="123.1"/>
    <n v="124.7"/>
    <n v="469.90000000000003"/>
    <n v="126"/>
    <n v="122.9"/>
    <n v="374.4"/>
    <n v="125.5"/>
    <n v="118.6"/>
    <n v="238.8"/>
    <n v="120.6"/>
    <n v="120.2"/>
    <n v="118.2"/>
    <n v="111.6"/>
    <n v="115.5"/>
    <n v="119.4"/>
    <n v="110.8"/>
    <n v="115.5"/>
    <n v="121.1"/>
    <n v="471.8"/>
    <n v="117.94999999999999"/>
  </r>
  <r>
    <s v="Urban"/>
    <x v="2"/>
    <x v="2"/>
    <n v="124"/>
    <n v="126.7"/>
    <n v="113.5"/>
    <n v="125.9"/>
    <n v="104.8"/>
    <n v="123.8"/>
    <n v="131.4"/>
    <n v="127.2"/>
    <n v="93.2"/>
    <n v="127.4"/>
    <n v="117"/>
    <n v="129.19999999999999"/>
    <n v="1451"/>
    <n v="123.9"/>
    <n v="128.80000000000001"/>
    <n v="472.50000000000006"/>
    <n v="121.7"/>
    <n v="116.9"/>
    <n v="359.5"/>
    <n v="120.9"/>
    <n v="118.6"/>
    <n v="236.6"/>
    <n v="114.4"/>
    <n v="118"/>
    <n v="114.3"/>
    <n v="108.4"/>
    <n v="115.4"/>
    <n v="120.6"/>
    <n v="111.3"/>
    <n v="113.8"/>
    <n v="119.1"/>
    <n v="461.4"/>
    <n v="115.35"/>
  </r>
  <r>
    <s v="Rural+Urban"/>
    <x v="2"/>
    <x v="2"/>
    <n v="123.5"/>
    <n v="125.4"/>
    <n v="116.8"/>
    <n v="126"/>
    <n v="109.2"/>
    <n v="127.6"/>
    <n v="129.19999999999999"/>
    <n v="122.4"/>
    <n v="97"/>
    <n v="122.1"/>
    <n v="118.1"/>
    <n v="128.4"/>
    <n v="1451.0000000000002"/>
    <n v="123.4"/>
    <n v="125.8"/>
    <n v="470.29999999999995"/>
    <n v="124.3"/>
    <n v="120.4"/>
    <n v="368.4"/>
    <n v="123.7"/>
    <n v="118.6"/>
    <n v="237.8"/>
    <n v="118.3"/>
    <n v="119.2"/>
    <n v="116.7"/>
    <n v="109.9"/>
    <n v="115.4"/>
    <n v="120.1"/>
    <n v="111"/>
    <n v="114.7"/>
    <n v="120.2"/>
    <n v="467.5"/>
    <n v="116.875"/>
  </r>
  <r>
    <s v="Rural"/>
    <x v="2"/>
    <x v="3"/>
    <n v="123.3"/>
    <n v="125.5"/>
    <n v="117.2"/>
    <n v="126.8"/>
    <n v="111.9"/>
    <n v="134.19999999999999"/>
    <n v="127.5"/>
    <n v="121.5"/>
    <n v="97.8"/>
    <n v="119.8"/>
    <n v="119.4"/>
    <n v="128.69999999999999"/>
    <n v="1457.7999999999997"/>
    <n v="123.6"/>
    <n v="125.7"/>
    <n v="472.9"/>
    <n v="126.4"/>
    <n v="123.3"/>
    <n v="375.7"/>
    <n v="126"/>
    <n v="119.2"/>
    <n v="240.10000000000002"/>
    <n v="121.2"/>
    <n v="120.9"/>
    <n v="118.6"/>
    <n v="111.9"/>
    <n v="116.2"/>
    <n v="119.9"/>
    <n v="111.6"/>
    <n v="116"/>
    <n v="121.5"/>
    <n v="473.9"/>
    <n v="118.47500000000001"/>
  </r>
  <r>
    <s v="Urban"/>
    <x v="2"/>
    <x v="3"/>
    <n v="123.8"/>
    <n v="128.19999999999999"/>
    <n v="110"/>
    <n v="126.3"/>
    <n v="104.5"/>
    <n v="130.6"/>
    <n v="130.80000000000001"/>
    <n v="131.30000000000001"/>
    <n v="91.6"/>
    <n v="127.7"/>
    <n v="117.2"/>
    <n v="129.5"/>
    <n v="1458.8999999999999"/>
    <n v="124.6"/>
    <n v="130.1"/>
    <n v="474.7"/>
    <n v="122.1"/>
    <n v="117.2"/>
    <n v="360.6"/>
    <n v="121.3"/>
    <n v="119.2"/>
    <n v="237.60000000000002"/>
    <n v="114.7"/>
    <n v="118.4"/>
    <n v="114.6"/>
    <n v="108.4"/>
    <n v="115.6"/>
    <n v="121.7"/>
    <n v="111.8"/>
    <n v="114.2"/>
    <n v="119.7"/>
    <n v="463.20000000000005"/>
    <n v="115.8"/>
  </r>
  <r>
    <s v="Rural+Urban"/>
    <x v="2"/>
    <x v="3"/>
    <n v="123.5"/>
    <n v="126.4"/>
    <n v="114.4"/>
    <n v="126.6"/>
    <n v="109.2"/>
    <n v="132.5"/>
    <n v="128.6"/>
    <n v="124.8"/>
    <n v="95.7"/>
    <n v="122.4"/>
    <n v="118.5"/>
    <n v="129.1"/>
    <n v="1457.2000000000003"/>
    <n v="124"/>
    <n v="126.9"/>
    <n v="473"/>
    <n v="124.7"/>
    <n v="120.8"/>
    <n v="369.6"/>
    <n v="124.1"/>
    <n v="119.2"/>
    <n v="238.9"/>
    <n v="118.7"/>
    <n v="119.7"/>
    <n v="117.1"/>
    <n v="110.1"/>
    <n v="115.9"/>
    <n v="121"/>
    <n v="111.7"/>
    <n v="115.1"/>
    <n v="120.7"/>
    <n v="469.5"/>
    <n v="117.375"/>
  </r>
  <r>
    <s v="Rural"/>
    <x v="2"/>
    <x v="4"/>
    <n v="123.5"/>
    <n v="127.1"/>
    <n v="117.3"/>
    <n v="127.7"/>
    <n v="112.5"/>
    <n v="134.1"/>
    <n v="128.5"/>
    <n v="124.3"/>
    <n v="97.6"/>
    <n v="120.7"/>
    <n v="120.2"/>
    <n v="129.80000000000001"/>
    <n v="1467.5000000000002"/>
    <n v="124.4"/>
    <n v="126.7"/>
    <n v="475.90000000000003"/>
    <n v="127.3"/>
    <n v="124.1"/>
    <n v="378.2"/>
    <n v="126.8"/>
    <n v="119.6"/>
    <n v="241.1"/>
    <n v="121.9"/>
    <n v="121.5"/>
    <n v="119.4"/>
    <n v="113.3"/>
    <n v="116.7"/>
    <n v="120.5"/>
    <n v="112.3"/>
    <n v="116.9"/>
    <n v="122.4"/>
    <n v="477.20000000000005"/>
    <n v="119.30000000000001"/>
  </r>
  <r>
    <s v="Urban"/>
    <x v="2"/>
    <x v="4"/>
    <n v="123.8"/>
    <n v="129.69999999999999"/>
    <n v="111.3"/>
    <n v="126.6"/>
    <n v="105.2"/>
    <n v="130.80000000000001"/>
    <n v="135.6"/>
    <n v="142.6"/>
    <n v="90.8"/>
    <n v="128.80000000000001"/>
    <n v="117.7"/>
    <n v="129.9"/>
    <n v="1481.2"/>
    <n v="126.1"/>
    <n v="131.30000000000001"/>
    <n v="477.4"/>
    <n v="122.4"/>
    <n v="117.4"/>
    <n v="361.4"/>
    <n v="121.6"/>
    <n v="119.6"/>
    <n v="238.3"/>
    <n v="114.9"/>
    <n v="118.7"/>
    <n v="114.9"/>
    <n v="110.8"/>
    <n v="116"/>
    <n v="122"/>
    <n v="112.4"/>
    <n v="115.2"/>
    <n v="120.7"/>
    <n v="466.40000000000003"/>
    <n v="116.6"/>
  </r>
  <r>
    <s v="Rural+Urban"/>
    <x v="2"/>
    <x v="4"/>
    <n v="123.6"/>
    <n v="128"/>
    <n v="115"/>
    <n v="127.3"/>
    <n v="109.8"/>
    <n v="132.6"/>
    <n v="130.9"/>
    <n v="130.5"/>
    <n v="95.3"/>
    <n v="123.4"/>
    <n v="119.2"/>
    <n v="129.80000000000001"/>
    <n v="1471.1999999999998"/>
    <n v="125"/>
    <n v="127.9"/>
    <n v="475.70000000000005"/>
    <n v="125.4"/>
    <n v="121.3"/>
    <n v="371.4"/>
    <n v="124.7"/>
    <n v="119.6"/>
    <n v="239.8"/>
    <n v="119.2"/>
    <n v="120.2"/>
    <n v="117.7"/>
    <n v="112"/>
    <n v="116.3"/>
    <n v="121.4"/>
    <n v="112.3"/>
    <n v="116.1"/>
    <n v="121.6"/>
    <n v="472.8"/>
    <n v="118.2"/>
  </r>
  <r>
    <s v="Rural"/>
    <x v="2"/>
    <x v="5"/>
    <n v="124.1"/>
    <n v="130.4"/>
    <n v="122.1"/>
    <n v="128.69999999999999"/>
    <n v="114.1"/>
    <n v="133.19999999999999"/>
    <n v="135.19999999999999"/>
    <n v="131.9"/>
    <n v="96.3"/>
    <n v="123"/>
    <n v="121.1"/>
    <n v="131.19999999999999"/>
    <n v="1496.7999999999997"/>
    <n v="126.6"/>
    <n v="128.19999999999999"/>
    <n v="480.2"/>
    <n v="128.4"/>
    <n v="125.1"/>
    <n v="381.5"/>
    <n v="128"/>
    <n v="119"/>
    <n v="241.8"/>
    <n v="122.6"/>
    <n v="122.8"/>
    <n v="120.4"/>
    <n v="114.2"/>
    <n v="117.9"/>
    <n v="122"/>
    <n v="113"/>
    <n v="117.9"/>
    <n v="124.1"/>
    <n v="481.59999999999997"/>
    <n v="120.4"/>
  </r>
  <r>
    <s v="Urban"/>
    <x v="2"/>
    <x v="5"/>
    <n v="123.6"/>
    <n v="134.4"/>
    <n v="120.9"/>
    <n v="127.3"/>
    <n v="106"/>
    <n v="132.30000000000001"/>
    <n v="146.69999999999999"/>
    <n v="148.1"/>
    <n v="89.8"/>
    <n v="130.5"/>
    <n v="118"/>
    <n v="130.5"/>
    <n v="1518.6"/>
    <n v="128.5"/>
    <n v="132.1"/>
    <n v="478.8"/>
    <n v="123.2"/>
    <n v="117.6"/>
    <n v="363.1"/>
    <n v="122.3"/>
    <n v="119"/>
    <n v="238.2"/>
    <n v="115.1"/>
    <n v="119.2"/>
    <n v="115.4"/>
    <n v="111.7"/>
    <n v="116.2"/>
    <n v="123.8"/>
    <n v="112.5"/>
    <n v="116"/>
    <n v="121.7"/>
    <n v="469.8"/>
    <n v="117.44999999999999"/>
  </r>
  <r>
    <s v="Rural+Urban"/>
    <x v="2"/>
    <x v="5"/>
    <n v="123.9"/>
    <n v="131.80000000000001"/>
    <n v="121.6"/>
    <n v="128.19999999999999"/>
    <n v="111.1"/>
    <n v="132.80000000000001"/>
    <n v="139.1"/>
    <n v="137.4"/>
    <n v="94.1"/>
    <n v="125.5"/>
    <n v="119.8"/>
    <n v="130.9"/>
    <n v="1503.6999999999998"/>
    <n v="127.3"/>
    <n v="129.19999999999999"/>
    <n v="478.7"/>
    <n v="126.4"/>
    <n v="122"/>
    <n v="374.1"/>
    <n v="125.7"/>
    <n v="119"/>
    <n v="240.1"/>
    <n v="119.8"/>
    <n v="121.1"/>
    <n v="118.5"/>
    <n v="112.9"/>
    <n v="116.9"/>
    <n v="123.1"/>
    <n v="112.8"/>
    <n v="117"/>
    <n v="123"/>
    <n v="476.9"/>
    <n v="119.22500000000001"/>
  </r>
  <r>
    <s v="Rural"/>
    <x v="2"/>
    <x v="6"/>
    <n v="124"/>
    <n v="131.5"/>
    <n v="122"/>
    <n v="128.69999999999999"/>
    <n v="113.5"/>
    <n v="133.30000000000001"/>
    <n v="140.80000000000001"/>
    <n v="133.80000000000001"/>
    <n v="94.1"/>
    <n v="123.4"/>
    <n v="121"/>
    <n v="131.69999999999999"/>
    <n v="1504.3"/>
    <n v="127.5"/>
    <n v="129.4"/>
    <n v="481.09999999999997"/>
    <n v="128.80000000000001"/>
    <n v="125.5"/>
    <n v="382.6"/>
    <n v="128.30000000000001"/>
    <n v="119.9"/>
    <n v="242.9"/>
    <n v="123"/>
    <n v="123"/>
    <n v="120.8"/>
    <n v="114.1"/>
    <n v="118"/>
    <n v="122.9"/>
    <n v="112.7"/>
    <n v="118.1"/>
    <n v="124.7"/>
    <n v="483"/>
    <n v="120.75"/>
  </r>
  <r>
    <s v="Urban"/>
    <x v="2"/>
    <x v="6"/>
    <n v="123.2"/>
    <n v="134.30000000000001"/>
    <n v="119.5"/>
    <n v="127.7"/>
    <n v="106.3"/>
    <n v="132.80000000000001"/>
    <n v="153.5"/>
    <n v="149.5"/>
    <n v="85.7"/>
    <n v="131.5"/>
    <n v="118.3"/>
    <n v="131.1"/>
    <n v="1524.6"/>
    <n v="129.5"/>
    <n v="133.1"/>
    <n v="479.7"/>
    <n v="123.5"/>
    <n v="117.9"/>
    <n v="364.1"/>
    <n v="122.7"/>
    <n v="119.9"/>
    <n v="239.4"/>
    <n v="115.3"/>
    <n v="119.5"/>
    <n v="116"/>
    <n v="111.5"/>
    <n v="116.6"/>
    <n v="125.4"/>
    <n v="111.7"/>
    <n v="116.3"/>
    <n v="122.4"/>
    <n v="471.7"/>
    <n v="117.925"/>
  </r>
  <r>
    <s v="Rural+Urban"/>
    <x v="2"/>
    <x v="6"/>
    <n v="123.7"/>
    <n v="132.5"/>
    <n v="121"/>
    <n v="128.30000000000001"/>
    <n v="110.9"/>
    <n v="133.1"/>
    <n v="145.1"/>
    <n v="139.1"/>
    <n v="91.3"/>
    <n v="126.1"/>
    <n v="119.9"/>
    <n v="131.4"/>
    <n v="1510.7"/>
    <n v="128.19999999999999"/>
    <n v="130.4"/>
    <n v="479.8"/>
    <n v="126.7"/>
    <n v="122.3"/>
    <n v="375.1"/>
    <n v="126.1"/>
    <n v="119.9"/>
    <n v="241.2"/>
    <n v="120.1"/>
    <n v="121.3"/>
    <n v="119"/>
    <n v="112.7"/>
    <n v="117.2"/>
    <n v="124.4"/>
    <n v="112.3"/>
    <n v="117.2"/>
    <n v="123.6"/>
    <n v="478.50000000000006"/>
    <n v="119.625"/>
  </r>
  <r>
    <s v="Rural"/>
    <x v="2"/>
    <x v="7"/>
    <n v="124.7"/>
    <n v="131.30000000000001"/>
    <n v="121.3"/>
    <n v="128.80000000000001"/>
    <n v="114"/>
    <n v="134.19999999999999"/>
    <n v="153.6"/>
    <n v="137.9"/>
    <n v="93.1"/>
    <n v="123.9"/>
    <n v="121.5"/>
    <n v="132.5"/>
    <n v="1525.1"/>
    <n v="129.80000000000001"/>
    <n v="130.1"/>
    <n v="482.6"/>
    <n v="129.5"/>
    <n v="126.3"/>
    <n v="384.8"/>
    <n v="129"/>
    <n v="120.9"/>
    <n v="244.60000000000002"/>
    <n v="123.8"/>
    <n v="123.7"/>
    <n v="121.1"/>
    <n v="113.6"/>
    <n v="118.5"/>
    <n v="123.6"/>
    <n v="112.5"/>
    <n v="118.2"/>
    <n v="126.1"/>
    <n v="484.7"/>
    <n v="121.175"/>
  </r>
  <r>
    <s v="Urban"/>
    <x v="2"/>
    <x v="7"/>
    <n v="123.1"/>
    <n v="131.69999999999999"/>
    <n v="118.1"/>
    <n v="128"/>
    <n v="106.8"/>
    <n v="130.1"/>
    <n v="165.5"/>
    <n v="156"/>
    <n v="85.3"/>
    <n v="132.69999999999999"/>
    <n v="118.8"/>
    <n v="131.69999999999999"/>
    <n v="1540.0999999999997"/>
    <n v="131.1"/>
    <n v="134.19999999999999"/>
    <n v="482.2"/>
    <n v="123.7"/>
    <n v="118.2"/>
    <n v="364.8"/>
    <n v="122.9"/>
    <n v="120.9"/>
    <n v="240.9"/>
    <n v="115.3"/>
    <n v="120"/>
    <n v="116.6"/>
    <n v="109.9"/>
    <n v="117.2"/>
    <n v="126.2"/>
    <n v="112"/>
    <n v="116.2"/>
    <n v="123.2"/>
    <n v="471.40000000000003"/>
    <n v="117.85000000000001"/>
  </r>
  <r>
    <s v="Rural+Urban"/>
    <x v="2"/>
    <x v="7"/>
    <n v="124.2"/>
    <n v="131.4"/>
    <n v="120.1"/>
    <n v="128.5"/>
    <n v="111.4"/>
    <n v="132.30000000000001"/>
    <n v="157.6"/>
    <n v="144"/>
    <n v="90.5"/>
    <n v="126.8"/>
    <n v="120.4"/>
    <n v="132.1"/>
    <n v="1529.2"/>
    <n v="130.30000000000001"/>
    <n v="131.19999999999999"/>
    <n v="481.7"/>
    <n v="127.2"/>
    <n v="122.9"/>
    <n v="376.70000000000005"/>
    <n v="126.6"/>
    <n v="120.9"/>
    <n v="242.9"/>
    <n v="120.6"/>
    <n v="122"/>
    <n v="119.4"/>
    <n v="111.7"/>
    <n v="117.8"/>
    <n v="125.1"/>
    <n v="112.3"/>
    <n v="117.2"/>
    <n v="124.8"/>
    <n v="479.4"/>
    <n v="119.85"/>
  </r>
  <r>
    <s v="Rural"/>
    <x v="2"/>
    <x v="8"/>
    <n v="125.1"/>
    <n v="131.1"/>
    <n v="120.7"/>
    <n v="129.19999999999999"/>
    <n v="114.7"/>
    <n v="132.30000000000001"/>
    <n v="158.9"/>
    <n v="142.1"/>
    <n v="92.5"/>
    <n v="125.4"/>
    <n v="121.9"/>
    <n v="132.69999999999999"/>
    <n v="1535.7"/>
    <n v="131"/>
    <n v="131"/>
    <n v="486.2"/>
    <n v="130.4"/>
    <n v="126.8"/>
    <n v="387.1"/>
    <n v="129.9"/>
    <n v="121.6"/>
    <n v="246.1"/>
    <n v="123.7"/>
    <n v="124.5"/>
    <n v="121.4"/>
    <n v="113.8"/>
    <n v="119.6"/>
    <n v="124.5"/>
    <n v="113.7"/>
    <n v="118.8"/>
    <n v="127"/>
    <n v="486.5"/>
    <n v="121.625"/>
  </r>
  <r>
    <s v="Urban"/>
    <x v="2"/>
    <x v="8"/>
    <n v="123.4"/>
    <n v="129"/>
    <n v="115.6"/>
    <n v="128.30000000000001"/>
    <n v="107"/>
    <n v="124"/>
    <n v="168.5"/>
    <n v="165.4"/>
    <n v="86.3"/>
    <n v="134.4"/>
    <n v="119.1"/>
    <n v="132.30000000000001"/>
    <n v="1545.7"/>
    <n v="131.5"/>
    <n v="134.69999999999999"/>
    <n v="484"/>
    <n v="124"/>
    <n v="118.6"/>
    <n v="365.8"/>
    <n v="123.2"/>
    <n v="121.6"/>
    <n v="242"/>
    <n v="115.1"/>
    <n v="120.4"/>
    <n v="117.1"/>
    <n v="109.1"/>
    <n v="117.3"/>
    <n v="126.5"/>
    <n v="112.9"/>
    <n v="116.2"/>
    <n v="123.5"/>
    <n v="471.1"/>
    <n v="117.77500000000001"/>
  </r>
  <r>
    <s v="Rural+Urban"/>
    <x v="2"/>
    <x v="8"/>
    <n v="124.6"/>
    <n v="130.4"/>
    <n v="118.7"/>
    <n v="128.9"/>
    <n v="111.9"/>
    <n v="128.4"/>
    <n v="162.19999999999999"/>
    <n v="150"/>
    <n v="90.4"/>
    <n v="128.4"/>
    <n v="120.7"/>
    <n v="132.5"/>
    <n v="1537.6000000000001"/>
    <n v="131.19999999999999"/>
    <n v="132"/>
    <n v="484.4"/>
    <n v="127.9"/>
    <n v="123.4"/>
    <n v="378.5"/>
    <n v="127.2"/>
    <n v="121.6"/>
    <n v="244.2"/>
    <n v="120.4"/>
    <n v="122.6"/>
    <n v="119.8"/>
    <n v="111.3"/>
    <n v="118.3"/>
    <n v="125.7"/>
    <n v="113.4"/>
    <n v="117.5"/>
    <n v="125.4"/>
    <n v="480"/>
    <n v="120"/>
  </r>
  <r>
    <s v="Rural"/>
    <x v="2"/>
    <x v="9"/>
    <n v="125.6"/>
    <n v="130.4"/>
    <n v="120.8"/>
    <n v="129.4"/>
    <n v="115.8"/>
    <n v="133.19999999999999"/>
    <n v="157.69999999999999"/>
    <n v="154.19999999999999"/>
    <n v="93.7"/>
    <n v="126.6"/>
    <n v="122.3"/>
    <n v="133.1"/>
    <n v="1552.3"/>
    <n v="131.80000000000001"/>
    <n v="131.5"/>
    <n v="488.09999999999997"/>
    <n v="131.1"/>
    <n v="127.3"/>
    <n v="389"/>
    <n v="130.6"/>
    <n v="122.4"/>
    <n v="247.5"/>
    <n v="124.4"/>
    <n v="125.1"/>
    <n v="122"/>
    <n v="113.8"/>
    <n v="120.1"/>
    <n v="125.1"/>
    <n v="114.2"/>
    <n v="119.2"/>
    <n v="127.7"/>
    <n v="488.4"/>
    <n v="122.1"/>
  </r>
  <r>
    <s v="Urban"/>
    <x v="2"/>
    <x v="9"/>
    <n v="123.6"/>
    <n v="128.6"/>
    <n v="115.9"/>
    <n v="128.5"/>
    <n v="109"/>
    <n v="124.1"/>
    <n v="165.8"/>
    <n v="187.2"/>
    <n v="89.4"/>
    <n v="135.80000000000001"/>
    <n v="119.4"/>
    <n v="132.9"/>
    <n v="1573.3999999999996"/>
    <n v="132.6"/>
    <n v="135.30000000000001"/>
    <n v="485.90000000000003"/>
    <n v="124.4"/>
    <n v="118.8"/>
    <n v="366.79999999999995"/>
    <n v="123.6"/>
    <n v="122.4"/>
    <n v="243.10000000000002"/>
    <n v="114.9"/>
    <n v="120.7"/>
    <n v="117.7"/>
    <n v="109.3"/>
    <n v="117.7"/>
    <n v="126.5"/>
    <n v="113.5"/>
    <n v="116.5"/>
    <n v="124.2"/>
    <n v="471.40000000000003"/>
    <n v="117.85"/>
  </r>
  <r>
    <s v="Rural+Urban"/>
    <x v="2"/>
    <x v="9"/>
    <n v="125"/>
    <n v="129.80000000000001"/>
    <n v="118.9"/>
    <n v="129.1"/>
    <n v="113.3"/>
    <n v="129"/>
    <n v="160.4"/>
    <n v="165.3"/>
    <n v="92.3"/>
    <n v="129.69999999999999"/>
    <n v="121.1"/>
    <n v="133"/>
    <n v="1557.8999999999999"/>
    <n v="132.1"/>
    <n v="132.5"/>
    <n v="486.20000000000005"/>
    <n v="128.5"/>
    <n v="123.8"/>
    <n v="380.1"/>
    <n v="127.8"/>
    <n v="122.4"/>
    <n v="245.4"/>
    <n v="120.8"/>
    <n v="123"/>
    <n v="120.4"/>
    <n v="111.4"/>
    <n v="118.7"/>
    <n v="125.9"/>
    <n v="113.9"/>
    <n v="117.9"/>
    <n v="126.1"/>
    <n v="481.1"/>
    <n v="120.27500000000001"/>
  </r>
  <r>
    <s v="Rural"/>
    <x v="2"/>
    <x v="10"/>
    <n v="126.1"/>
    <n v="130.6"/>
    <n v="121.7"/>
    <n v="129.5"/>
    <n v="117.8"/>
    <n v="132.1"/>
    <n v="155.19999999999999"/>
    <n v="160.80000000000001"/>
    <n v="94.5"/>
    <n v="128.30000000000001"/>
    <n v="123.1"/>
    <n v="134.19999999999999"/>
    <n v="1563.2"/>
    <n v="132.4"/>
    <n v="132.19999999999999"/>
    <n v="490.4"/>
    <n v="132.1"/>
    <n v="128.19999999999999"/>
    <n v="391.79999999999995"/>
    <n v="131.5"/>
    <n v="122.9"/>
    <n v="248.5"/>
    <n v="125.6"/>
    <n v="125.6"/>
    <n v="122.6"/>
    <n v="114"/>
    <n v="120.9"/>
    <n v="125.8"/>
    <n v="114.2"/>
    <n v="119.6"/>
    <n v="128.30000000000001"/>
    <n v="491"/>
    <n v="122.75"/>
  </r>
  <r>
    <s v="Urban"/>
    <x v="2"/>
    <x v="10"/>
    <n v="124"/>
    <n v="129.80000000000001"/>
    <n v="121.5"/>
    <n v="128.6"/>
    <n v="110"/>
    <n v="123.7"/>
    <n v="164.6"/>
    <n v="191.6"/>
    <n v="90.8"/>
    <n v="137.1"/>
    <n v="119.8"/>
    <n v="133.69999999999999"/>
    <n v="1588.6999999999998"/>
    <n v="133.30000000000001"/>
    <n v="137.6"/>
    <n v="488.59999999999997"/>
    <n v="125"/>
    <n v="119.3"/>
    <n v="368.5"/>
    <n v="124.2"/>
    <n v="122.9"/>
    <n v="243.9"/>
    <n v="115.1"/>
    <n v="121"/>
    <n v="118.1"/>
    <n v="109.3"/>
    <n v="117.9"/>
    <n v="126.6"/>
    <n v="113.3"/>
    <n v="116.6"/>
    <n v="124.6"/>
    <n v="472"/>
    <n v="118"/>
  </r>
  <r>
    <s v="Rural+Urban"/>
    <x v="2"/>
    <x v="10"/>
    <n v="125.4"/>
    <n v="130.30000000000001"/>
    <n v="121.6"/>
    <n v="129.19999999999999"/>
    <n v="114.9"/>
    <n v="128.19999999999999"/>
    <n v="158.4"/>
    <n v="171.2"/>
    <n v="93.3"/>
    <n v="131.19999999999999"/>
    <n v="121.7"/>
    <n v="134"/>
    <n v="1570.3999999999999"/>
    <n v="132.69999999999999"/>
    <n v="133.6"/>
    <n v="488.3"/>
    <n v="129.30000000000001"/>
    <n v="124.5"/>
    <n v="382.4"/>
    <n v="128.6"/>
    <n v="122.9"/>
    <n v="246.3"/>
    <n v="121.6"/>
    <n v="123.4"/>
    <n v="120.9"/>
    <n v="111.5"/>
    <n v="119.2"/>
    <n v="126.3"/>
    <n v="113.8"/>
    <n v="118.1"/>
    <n v="126.6"/>
    <n v="482.79999999999995"/>
    <n v="120.70000000000002"/>
  </r>
  <r>
    <s v="Rural"/>
    <x v="2"/>
    <x v="11"/>
    <n v="126.3"/>
    <n v="131.30000000000001"/>
    <n v="123.3"/>
    <n v="129.80000000000001"/>
    <n v="118.3"/>
    <n v="131.6"/>
    <n v="145.5"/>
    <n v="162.1"/>
    <n v="95.4"/>
    <n v="128.9"/>
    <n v="123.3"/>
    <n v="135.1"/>
    <n v="1559"/>
    <n v="131.4"/>
    <n v="133.1"/>
    <n v="492.1"/>
    <n v="132.5"/>
    <n v="128.5"/>
    <n v="392.9"/>
    <n v="131.9"/>
    <n v="122.4"/>
    <n v="248.4"/>
    <n v="125.7"/>
    <n v="126"/>
    <n v="123.1"/>
    <n v="114"/>
    <n v="121.6"/>
    <n v="125.6"/>
    <n v="114.1"/>
    <n v="119.8"/>
    <n v="127.9"/>
    <n v="491.3"/>
    <n v="122.825"/>
  </r>
  <r>
    <s v="Urban"/>
    <x v="2"/>
    <x v="11"/>
    <n v="124.3"/>
    <n v="131.69999999999999"/>
    <n v="127.1"/>
    <n v="128.6"/>
    <n v="110"/>
    <n v="120.8"/>
    <n v="149"/>
    <n v="190.1"/>
    <n v="92.7"/>
    <n v="138.6"/>
    <n v="120.2"/>
    <n v="134.19999999999999"/>
    <n v="1578.5999999999997"/>
    <n v="131.5"/>
    <n v="138.19999999999999"/>
    <n v="489.7"/>
    <n v="125.4"/>
    <n v="119.5"/>
    <n v="369.4"/>
    <n v="124.5"/>
    <n v="122.4"/>
    <n v="243.4"/>
    <n v="116"/>
    <n v="121"/>
    <n v="118.6"/>
    <n v="109.3"/>
    <n v="118.1"/>
    <n v="126.6"/>
    <n v="113.2"/>
    <n v="116.7"/>
    <n v="124"/>
    <n v="472.9"/>
    <n v="118.22499999999999"/>
  </r>
  <r>
    <s v="Rural+Urban"/>
    <x v="2"/>
    <x v="11"/>
    <n v="125.7"/>
    <n v="131.4"/>
    <n v="124.8"/>
    <n v="129.4"/>
    <n v="115.3"/>
    <n v="126.6"/>
    <n v="146.69999999999999"/>
    <n v="171.5"/>
    <n v="94.5"/>
    <n v="132.1"/>
    <n v="122"/>
    <n v="134.69999999999999"/>
    <n v="1564.1000000000001"/>
    <n v="131.4"/>
    <n v="134.5"/>
    <n v="489.8"/>
    <n v="129.69999999999999"/>
    <n v="124.8"/>
    <n v="383.5"/>
    <n v="129"/>
    <n v="122.4"/>
    <n v="246"/>
    <n v="122"/>
    <n v="123.6"/>
    <n v="121.4"/>
    <n v="111.5"/>
    <n v="119.6"/>
    <n v="126.2"/>
    <n v="113.7"/>
    <n v="118.3"/>
    <n v="126.1"/>
    <n v="483.29999999999995"/>
    <n v="120.82499999999999"/>
  </r>
  <r>
    <s v="Rural"/>
    <x v="3"/>
    <x v="0"/>
    <n v="126.8"/>
    <n v="133.19999999999999"/>
    <n v="126.5"/>
    <n v="130.30000000000001"/>
    <n v="118.9"/>
    <n v="131.6"/>
    <n v="140.1"/>
    <n v="163.80000000000001"/>
    <n v="97.7"/>
    <n v="129.6"/>
    <n v="124.3"/>
    <n v="135.9"/>
    <n v="1565.8000000000002"/>
    <n v="131.4"/>
    <n v="133.6"/>
    <n v="494.19999999999993"/>
    <n v="133.19999999999999"/>
    <n v="128.9"/>
    <n v="394.70000000000005"/>
    <n v="132.6"/>
    <n v="123.4"/>
    <n v="250"/>
    <n v="126.2"/>
    <n v="126.6"/>
    <n v="123.7"/>
    <n v="113.6"/>
    <n v="121.4"/>
    <n v="126.2"/>
    <n v="114.9"/>
    <n v="120.1"/>
    <n v="128.1"/>
    <n v="492.6"/>
    <n v="123.14999999999999"/>
  </r>
  <r>
    <s v="Urban"/>
    <x v="3"/>
    <x v="0"/>
    <n v="124.7"/>
    <n v="135.9"/>
    <n v="132"/>
    <n v="129.19999999999999"/>
    <n v="109.7"/>
    <n v="119"/>
    <n v="144.1"/>
    <n v="184.2"/>
    <n v="96.7"/>
    <n v="139.5"/>
    <n v="120.5"/>
    <n v="134.69999999999999"/>
    <n v="1580.9"/>
    <n v="131.19999999999999"/>
    <n v="139.5"/>
    <n v="492.5"/>
    <n v="125.8"/>
    <n v="119.8"/>
    <n v="370.5"/>
    <n v="124.9"/>
    <n v="123.4"/>
    <n v="245"/>
    <n v="116.9"/>
    <n v="121.6"/>
    <n v="119.1"/>
    <n v="108.9"/>
    <n v="118.5"/>
    <n v="126.4"/>
    <n v="114"/>
    <n v="116.8"/>
    <n v="124.2"/>
    <n v="473.80000000000007"/>
    <n v="118.44999999999999"/>
  </r>
  <r>
    <s v="Rural+Urban"/>
    <x v="3"/>
    <x v="0"/>
    <n v="126.1"/>
    <n v="134.1"/>
    <n v="128.6"/>
    <n v="129.9"/>
    <n v="115.5"/>
    <n v="125.7"/>
    <n v="141.5"/>
    <n v="170.7"/>
    <n v="97.4"/>
    <n v="132.9"/>
    <n v="122.7"/>
    <n v="135.30000000000001"/>
    <n v="1568.9999999999998"/>
    <n v="131.30000000000001"/>
    <n v="135.19999999999999"/>
    <n v="492.2"/>
    <n v="130.30000000000001"/>
    <n v="125.1"/>
    <n v="384.9"/>
    <n v="129.5"/>
    <n v="123.4"/>
    <n v="247.60000000000002"/>
    <n v="122.7"/>
    <n v="124.2"/>
    <n v="122"/>
    <n v="111.1"/>
    <n v="119.8"/>
    <n v="126.3"/>
    <n v="114.5"/>
    <n v="118.5"/>
    <n v="126.3"/>
    <n v="484.29999999999995"/>
    <n v="121.07499999999999"/>
  </r>
  <r>
    <s v="Rural"/>
    <x v="3"/>
    <x v="1"/>
    <n v="127.1"/>
    <n v="133.69999999999999"/>
    <n v="127.7"/>
    <n v="130.69999999999999"/>
    <n v="118.5"/>
    <n v="130.4"/>
    <n v="130.9"/>
    <n v="162.80000000000001"/>
    <n v="98.7"/>
    <n v="130.6"/>
    <n v="124.8"/>
    <n v="136.4"/>
    <n v="1557.8"/>
    <n v="130.30000000000001"/>
    <n v="134.4"/>
    <n v="498.3"/>
    <n v="133.9"/>
    <n v="129.80000000000001"/>
    <n v="397.1"/>
    <n v="133.4"/>
    <n v="124.4"/>
    <n v="251.5"/>
    <n v="127.5"/>
    <n v="127.1"/>
    <n v="124.3"/>
    <n v="113.9"/>
    <n v="122.3"/>
    <n v="127.1"/>
    <n v="116.8"/>
    <n v="120.9"/>
    <n v="127.9"/>
    <n v="495.6"/>
    <n v="123.9"/>
  </r>
  <r>
    <s v="Urban"/>
    <x v="3"/>
    <x v="1"/>
    <n v="124.8"/>
    <n v="135.1"/>
    <n v="130.30000000000001"/>
    <n v="129.6"/>
    <n v="108.4"/>
    <n v="118.6"/>
    <n v="129.19999999999999"/>
    <n v="176.4"/>
    <n v="99.1"/>
    <n v="139.69999999999999"/>
    <n v="120.6"/>
    <n v="135.19999999999999"/>
    <n v="1555.4999999999995"/>
    <n v="129.1"/>
    <n v="140"/>
    <n v="495.6"/>
    <n v="126.2"/>
    <n v="120.1"/>
    <n v="371.6"/>
    <n v="125.3"/>
    <n v="124.4"/>
    <n v="246.2"/>
    <n v="116"/>
    <n v="121.8"/>
    <n v="119.5"/>
    <n v="109.1"/>
    <n v="118.8"/>
    <n v="126.3"/>
    <n v="116.2"/>
    <n v="117.2"/>
    <n v="123.8"/>
    <n v="473.2"/>
    <n v="118.3"/>
  </r>
  <r>
    <s v="Rural+Urban"/>
    <x v="3"/>
    <x v="1"/>
    <n v="126.4"/>
    <n v="134.19999999999999"/>
    <n v="128.69999999999999"/>
    <n v="130.30000000000001"/>
    <n v="114.8"/>
    <n v="124.9"/>
    <n v="130.30000000000001"/>
    <n v="167.4"/>
    <n v="98.8"/>
    <n v="133.6"/>
    <n v="123"/>
    <n v="135.80000000000001"/>
    <n v="1555.1000000000004"/>
    <n v="129.9"/>
    <n v="135.9"/>
    <n v="495.79999999999995"/>
    <n v="130.9"/>
    <n v="125.8"/>
    <n v="386.9"/>
    <n v="130.19999999999999"/>
    <n v="124.4"/>
    <n v="249"/>
    <n v="123.1"/>
    <n v="124.6"/>
    <n v="122.5"/>
    <n v="111.4"/>
    <n v="120.3"/>
    <n v="126.6"/>
    <n v="116.6"/>
    <n v="119.1"/>
    <n v="126"/>
    <n v="485.70000000000005"/>
    <n v="121.42500000000001"/>
  </r>
  <r>
    <s v="Rural"/>
    <x v="3"/>
    <x v="2"/>
    <n v="127.3"/>
    <n v="134.4"/>
    <n v="125.1"/>
    <n v="130.5"/>
    <n v="118.3"/>
    <n v="131.69999999999999"/>
    <n v="130.69999999999999"/>
    <n v="161.19999999999999"/>
    <n v="100.4"/>
    <n v="130.80000000000001"/>
    <n v="124.9"/>
    <n v="137"/>
    <n v="1557.8000000000002"/>
    <n v="130.4"/>
    <n v="135"/>
    <n v="499.79999999999995"/>
    <n v="134.4"/>
    <n v="130.19999999999999"/>
    <n v="398.40000000000003"/>
    <n v="133.80000000000001"/>
    <n v="124.9"/>
    <n v="252.60000000000002"/>
    <n v="127"/>
    <n v="127.7"/>
    <n v="124.8"/>
    <n v="113.6"/>
    <n v="122.5"/>
    <n v="127.5"/>
    <n v="117.4"/>
    <n v="121.1"/>
    <n v="128"/>
    <n v="495.8"/>
    <n v="123.95"/>
  </r>
  <r>
    <s v="Urban"/>
    <x v="3"/>
    <x v="2"/>
    <n v="124.8"/>
    <n v="136.30000000000001"/>
    <n v="123.7"/>
    <n v="129.69999999999999"/>
    <n v="107.9"/>
    <n v="119.9"/>
    <n v="128.1"/>
    <n v="170.3"/>
    <n v="101.8"/>
    <n v="140.1"/>
    <n v="120.7"/>
    <n v="135.4"/>
    <n v="1546.9"/>
    <n v="128.9"/>
    <n v="140.6"/>
    <n v="497.5"/>
    <n v="126.4"/>
    <n v="120.3"/>
    <n v="372.2"/>
    <n v="125.5"/>
    <n v="124.9"/>
    <n v="247.2"/>
    <n v="114.8"/>
    <n v="122.3"/>
    <n v="119.7"/>
    <n v="108.5"/>
    <n v="119.1"/>
    <n v="126.4"/>
    <n v="117.1"/>
    <n v="117.3"/>
    <n v="123.8"/>
    <n v="472"/>
    <n v="118"/>
  </r>
  <r>
    <s v="Rural+Urban"/>
    <x v="3"/>
    <x v="2"/>
    <n v="126.5"/>
    <n v="135.1"/>
    <n v="124.6"/>
    <n v="130.19999999999999"/>
    <n v="114.5"/>
    <n v="126.2"/>
    <n v="129.80000000000001"/>
    <n v="164.3"/>
    <n v="100.9"/>
    <n v="133.9"/>
    <n v="123.1"/>
    <n v="136.30000000000001"/>
    <n v="1552.1"/>
    <n v="129.80000000000001"/>
    <n v="136.5"/>
    <n v="497.50000000000006"/>
    <n v="131.30000000000001"/>
    <n v="126.1"/>
    <n v="387.9"/>
    <n v="130.5"/>
    <n v="124.9"/>
    <n v="250"/>
    <n v="122.4"/>
    <n v="125.1"/>
    <n v="122.9"/>
    <n v="110.9"/>
    <n v="120.6"/>
    <n v="126.9"/>
    <n v="117.3"/>
    <n v="119.3"/>
    <n v="126"/>
    <n v="485.30000000000007"/>
    <n v="121.32499999999999"/>
  </r>
  <r>
    <s v="Rural"/>
    <x v="3"/>
    <x v="3"/>
    <n v="127.4"/>
    <n v="135.4"/>
    <n v="123.4"/>
    <n v="131.30000000000001"/>
    <n v="118.2"/>
    <n v="138.1"/>
    <n v="134.1"/>
    <n v="162.69999999999999"/>
    <n v="105"/>
    <n v="131.4"/>
    <n v="125.4"/>
    <n v="137.4"/>
    <n v="1576.2000000000003"/>
    <n v="131.80000000000001"/>
    <n v="135.5"/>
    <n v="502.5"/>
    <n v="135"/>
    <n v="130.6"/>
    <n v="400"/>
    <n v="134.4"/>
    <n v="125.6"/>
    <n v="253.6"/>
    <n v="127"/>
    <n v="128"/>
    <n v="125.2"/>
    <n v="114.4"/>
    <n v="123.2"/>
    <n v="127.9"/>
    <n v="118.4"/>
    <n v="121.7"/>
    <n v="129"/>
    <n v="497.3"/>
    <n v="124.325"/>
  </r>
  <r>
    <s v="Urban"/>
    <x v="3"/>
    <x v="3"/>
    <n v="124.9"/>
    <n v="139.30000000000001"/>
    <n v="119.9"/>
    <n v="130.19999999999999"/>
    <n v="108.9"/>
    <n v="131.1"/>
    <n v="136.80000000000001"/>
    <n v="176.9"/>
    <n v="109.1"/>
    <n v="140.4"/>
    <n v="121.1"/>
    <n v="135.9"/>
    <n v="1585.2"/>
    <n v="131.80000000000001"/>
    <n v="141.5"/>
    <n v="499.70000000000005"/>
    <n v="126.8"/>
    <n v="120.5"/>
    <n v="373.1"/>
    <n v="125.8"/>
    <n v="125.6"/>
    <n v="248.39999999999998"/>
    <n v="114.6"/>
    <n v="122.8"/>
    <n v="120"/>
    <n v="110"/>
    <n v="119.5"/>
    <n v="127.6"/>
    <n v="117.6"/>
    <n v="118.2"/>
    <n v="125.3"/>
    <n v="475"/>
    <n v="118.75"/>
  </r>
  <r>
    <s v="Rural+Urban"/>
    <x v="3"/>
    <x v="3"/>
    <n v="126.6"/>
    <n v="136.80000000000001"/>
    <n v="122"/>
    <n v="130.9"/>
    <n v="114.8"/>
    <n v="134.80000000000001"/>
    <n v="135"/>
    <n v="167.5"/>
    <n v="106.4"/>
    <n v="134.4"/>
    <n v="123.6"/>
    <n v="136.69999999999999"/>
    <n v="1577.6999999999998"/>
    <n v="131.80000000000001"/>
    <n v="137.1"/>
    <n v="499.9"/>
    <n v="131.80000000000001"/>
    <n v="126.4"/>
    <n v="389.20000000000005"/>
    <n v="131"/>
    <n v="125.6"/>
    <n v="251.1"/>
    <n v="122.3"/>
    <n v="125.5"/>
    <n v="123.2"/>
    <n v="112.1"/>
    <n v="121.1"/>
    <n v="127.7"/>
    <n v="118.1"/>
    <n v="120"/>
    <n v="127.3"/>
    <n v="487.6"/>
    <n v="121.9"/>
  </r>
  <r>
    <s v="Rural"/>
    <x v="3"/>
    <x v="4"/>
    <n v="127.6"/>
    <n v="137.5"/>
    <n v="124.4"/>
    <n v="132.4"/>
    <n v="118.2"/>
    <n v="138.1"/>
    <n v="141.80000000000001"/>
    <n v="166"/>
    <n v="107.5"/>
    <n v="132.19999999999999"/>
    <n v="126.1"/>
    <n v="138.30000000000001"/>
    <n v="1597.6"/>
    <n v="133.6"/>
    <n v="136"/>
    <n v="505.40000000000003"/>
    <n v="135.4"/>
    <n v="131.1"/>
    <n v="401.3"/>
    <n v="134.80000000000001"/>
    <n v="126"/>
    <n v="254.5"/>
    <n v="127.4"/>
    <n v="128.5"/>
    <n v="125.8"/>
    <n v="115.1"/>
    <n v="123.6"/>
    <n v="129.1"/>
    <n v="119.7"/>
    <n v="122.5"/>
    <n v="130.30000000000001"/>
    <n v="500.1"/>
    <n v="125.02500000000001"/>
  </r>
  <r>
    <s v="Urban"/>
    <x v="3"/>
    <x v="4"/>
    <n v="125"/>
    <n v="142.1"/>
    <n v="127"/>
    <n v="130.4"/>
    <n v="109.6"/>
    <n v="133.5"/>
    <n v="151.4"/>
    <n v="182.8"/>
    <n v="111.1"/>
    <n v="141.5"/>
    <n v="121.5"/>
    <n v="136.30000000000001"/>
    <n v="1625.3"/>
    <n v="134.6"/>
    <n v="142.19999999999999"/>
    <n v="502"/>
    <n v="127.2"/>
    <n v="120.7"/>
    <n v="374.1"/>
    <n v="126.2"/>
    <n v="126"/>
    <n v="249.2"/>
    <n v="115"/>
    <n v="123.2"/>
    <n v="120.3"/>
    <n v="110.7"/>
    <n v="119.8"/>
    <n v="128"/>
    <n v="118.5"/>
    <n v="118.7"/>
    <n v="126.6"/>
    <n v="476.9"/>
    <n v="119.22499999999999"/>
  </r>
  <r>
    <s v="Rural+Urban"/>
    <x v="3"/>
    <x v="4"/>
    <n v="126.8"/>
    <n v="139.1"/>
    <n v="125.4"/>
    <n v="131.69999999999999"/>
    <n v="115"/>
    <n v="136"/>
    <n v="145.1"/>
    <n v="171.7"/>
    <n v="108.7"/>
    <n v="135.30000000000001"/>
    <n v="124.2"/>
    <n v="137.4"/>
    <n v="1606.2"/>
    <n v="134"/>
    <n v="137.69999999999999"/>
    <n v="502.59999999999997"/>
    <n v="132.19999999999999"/>
    <n v="126.8"/>
    <n v="390.4"/>
    <n v="131.4"/>
    <n v="126"/>
    <n v="252"/>
    <n v="122.7"/>
    <n v="126"/>
    <n v="123.7"/>
    <n v="112.8"/>
    <n v="121.5"/>
    <n v="128.5"/>
    <n v="119.2"/>
    <n v="120.7"/>
    <n v="128.6"/>
    <n v="490"/>
    <n v="122.5"/>
  </r>
  <r>
    <s v="Rural"/>
    <x v="3"/>
    <x v="5"/>
    <n v="128.6"/>
    <n v="138.6"/>
    <n v="126.6"/>
    <n v="133.6"/>
    <n v="118.6"/>
    <n v="137.4"/>
    <n v="152.5"/>
    <n v="169.2"/>
    <n v="108.8"/>
    <n v="133.1"/>
    <n v="126.4"/>
    <n v="139.19999999999999"/>
    <n v="1622.1999999999996"/>
    <n v="136"/>
    <n v="137.19999999999999"/>
    <n v="507.6"/>
    <n v="136.30000000000001"/>
    <n v="131.6"/>
    <n v="403.5"/>
    <n v="135.6"/>
    <n v="125.5"/>
    <n v="254.8"/>
    <n v="128"/>
    <n v="129.30000000000001"/>
    <n v="126.2"/>
    <n v="116.3"/>
    <n v="124.1"/>
    <n v="130.19999999999999"/>
    <n v="119.9"/>
    <n v="123.3"/>
    <n v="131.9"/>
    <n v="503.8"/>
    <n v="125.95"/>
  </r>
  <r>
    <s v="Urban"/>
    <x v="3"/>
    <x v="5"/>
    <n v="125.9"/>
    <n v="143.9"/>
    <n v="130.9"/>
    <n v="131"/>
    <n v="110.2"/>
    <n v="135.5"/>
    <n v="173.7"/>
    <n v="184.4"/>
    <n v="112"/>
    <n v="142.80000000000001"/>
    <n v="121.6"/>
    <n v="136.9"/>
    <n v="1665.4000000000003"/>
    <n v="138.19999999999999"/>
    <n v="142.69999999999999"/>
    <n v="502.99999999999994"/>
    <n v="127.6"/>
    <n v="121.1"/>
    <n v="375.29999999999995"/>
    <n v="126.6"/>
    <n v="125.5"/>
    <n v="248.7"/>
    <n v="115.5"/>
    <n v="123.2"/>
    <n v="120.6"/>
    <n v="112.3"/>
    <n v="119.9"/>
    <n v="129.30000000000001"/>
    <n v="118.8"/>
    <n v="119.6"/>
    <n v="128.1"/>
    <n v="480.3"/>
    <n v="120.075"/>
  </r>
  <r>
    <s v="Rural+Urban"/>
    <x v="3"/>
    <x v="5"/>
    <n v="127.7"/>
    <n v="140.5"/>
    <n v="128.30000000000001"/>
    <n v="132.6"/>
    <n v="115.5"/>
    <n v="136.5"/>
    <n v="159.69999999999999"/>
    <n v="174.3"/>
    <n v="109.9"/>
    <n v="136.30000000000001"/>
    <n v="124.4"/>
    <n v="138.1"/>
    <n v="1636.1999999999998"/>
    <n v="136.80000000000001"/>
    <n v="138.69999999999999"/>
    <n v="504.20000000000005"/>
    <n v="132.9"/>
    <n v="127.2"/>
    <n v="392.1"/>
    <n v="132"/>
    <n v="125.5"/>
    <n v="251.9"/>
    <n v="123.3"/>
    <n v="126.4"/>
    <n v="124.1"/>
    <n v="114.2"/>
    <n v="121.7"/>
    <n v="129.69999999999999"/>
    <n v="119.4"/>
    <n v="121.5"/>
    <n v="130.1"/>
    <n v="493.6"/>
    <n v="123.39999999999999"/>
  </r>
  <r>
    <s v="Rural"/>
    <x v="3"/>
    <x v="6"/>
    <n v="129.30000000000001"/>
    <n v="139.5"/>
    <n v="129.6"/>
    <n v="134.5"/>
    <n v="119.5"/>
    <n v="138.5"/>
    <n v="158.19999999999999"/>
    <n v="171.8"/>
    <n v="110.3"/>
    <n v="134.30000000000001"/>
    <n v="127.3"/>
    <n v="139.9"/>
    <n v="1642.9999999999998"/>
    <n v="137.6"/>
    <n v="138"/>
    <n v="511.4"/>
    <n v="137.19999999999999"/>
    <n v="132.19999999999999"/>
    <n v="405.9"/>
    <n v="136.5"/>
    <n v="126.4"/>
    <n v="256.39999999999998"/>
    <n v="128.19999999999999"/>
    <n v="130"/>
    <n v="126.7"/>
    <n v="116.4"/>
    <n v="125.2"/>
    <n v="130.80000000000001"/>
    <n v="120.9"/>
    <n v="123.8"/>
    <n v="133"/>
    <n v="505.4"/>
    <n v="126.35000000000001"/>
  </r>
  <r>
    <s v="Urban"/>
    <x v="3"/>
    <x v="6"/>
    <n v="126.8"/>
    <n v="144.19999999999999"/>
    <n v="136.6"/>
    <n v="131.80000000000001"/>
    <n v="111"/>
    <n v="137"/>
    <n v="179.5"/>
    <n v="188.4"/>
    <n v="113.3"/>
    <n v="143.9"/>
    <n v="121.7"/>
    <n v="137.5"/>
    <n v="1689.8"/>
    <n v="139.80000000000001"/>
    <n v="142.9"/>
    <n v="504.90000000000003"/>
    <n v="127.9"/>
    <n v="121.1"/>
    <n v="375.9"/>
    <n v="126.9"/>
    <n v="126.4"/>
    <n v="249.9"/>
    <n v="115.5"/>
    <n v="123.5"/>
    <n v="120.9"/>
    <n v="111.7"/>
    <n v="120.3"/>
    <n v="130.80000000000001"/>
    <n v="120"/>
    <n v="119.9"/>
    <n v="129"/>
    <n v="481.5"/>
    <n v="120.375"/>
  </r>
  <r>
    <s v="Rural+Urban"/>
    <x v="3"/>
    <x v="6"/>
    <n v="128.5"/>
    <n v="141.19999999999999"/>
    <n v="132.30000000000001"/>
    <n v="133.5"/>
    <n v="116.4"/>
    <n v="137.80000000000001"/>
    <n v="165.4"/>
    <n v="177.4"/>
    <n v="111.3"/>
    <n v="137.5"/>
    <n v="125"/>
    <n v="138.80000000000001"/>
    <n v="1658.5"/>
    <n v="138.4"/>
    <n v="139.30000000000001"/>
    <n v="507.20000000000005"/>
    <n v="133.5"/>
    <n v="127.6"/>
    <n v="393.8"/>
    <n v="132.69999999999999"/>
    <n v="126.4"/>
    <n v="253.3"/>
    <n v="123.4"/>
    <n v="126.9"/>
    <n v="124.5"/>
    <n v="113.9"/>
    <n v="122.4"/>
    <n v="130.80000000000001"/>
    <n v="120.5"/>
    <n v="121.9"/>
    <n v="131.1"/>
    <n v="495"/>
    <n v="123.75"/>
  </r>
  <r>
    <s v="Rural"/>
    <x v="3"/>
    <x v="7"/>
    <n v="130.1"/>
    <n v="138.80000000000001"/>
    <n v="130.30000000000001"/>
    <n v="135.30000000000001"/>
    <n v="119.9"/>
    <n v="140.19999999999999"/>
    <n v="156.9"/>
    <n v="172.2"/>
    <n v="112.1"/>
    <n v="134.9"/>
    <n v="128.1"/>
    <n v="140.69999999999999"/>
    <n v="1649.3999999999999"/>
    <n v="138"/>
    <n v="138.9"/>
    <n v="514.5"/>
    <n v="137.80000000000001"/>
    <n v="133"/>
    <n v="407.9"/>
    <n v="137.1"/>
    <n v="127.3"/>
    <n v="257.89999999999998"/>
    <n v="129.1"/>
    <n v="130.6"/>
    <n v="127"/>
    <n v="116"/>
    <n v="125.5"/>
    <n v="131.9"/>
    <n v="122"/>
    <n v="124.2"/>
    <n v="133.5"/>
    <n v="507.6"/>
    <n v="126.9"/>
  </r>
  <r>
    <s v="Urban"/>
    <x v="3"/>
    <x v="7"/>
    <n v="127.6"/>
    <n v="140.30000000000001"/>
    <n v="133.69999999999999"/>
    <n v="132.19999999999999"/>
    <n v="111.8"/>
    <n v="135.80000000000001"/>
    <n v="163.5"/>
    <n v="182.3"/>
    <n v="114.6"/>
    <n v="144.6"/>
    <n v="121.9"/>
    <n v="138.1"/>
    <n v="1662.0999999999997"/>
    <n v="137.6"/>
    <n v="143.6"/>
    <n v="507"/>
    <n v="128.30000000000001"/>
    <n v="121.4"/>
    <n v="377"/>
    <n v="127.3"/>
    <n v="127.3"/>
    <n v="251.2"/>
    <n v="114.7"/>
    <n v="123.9"/>
    <n v="121.2"/>
    <n v="110.4"/>
    <n v="120.6"/>
    <n v="131.5"/>
    <n v="120.9"/>
    <n v="119.9"/>
    <n v="128.4"/>
    <n v="480.5"/>
    <n v="120.125"/>
  </r>
  <r>
    <s v="Rural+Urban"/>
    <x v="3"/>
    <x v="7"/>
    <n v="129.30000000000001"/>
    <n v="139.30000000000001"/>
    <n v="131.6"/>
    <n v="134.1"/>
    <n v="116.9"/>
    <n v="138.1"/>
    <n v="159.1"/>
    <n v="175.6"/>
    <n v="112.9"/>
    <n v="138.1"/>
    <n v="125.5"/>
    <n v="139.5"/>
    <n v="1652.3999999999999"/>
    <n v="137.9"/>
    <n v="140.19999999999999"/>
    <n v="509.9"/>
    <n v="134.1"/>
    <n v="128.19999999999999"/>
    <n v="395.49999999999994"/>
    <n v="133.19999999999999"/>
    <n v="127.3"/>
    <n v="254.7"/>
    <n v="123.6"/>
    <n v="127.4"/>
    <n v="124.8"/>
    <n v="113.1"/>
    <n v="122.7"/>
    <n v="131.69999999999999"/>
    <n v="121.5"/>
    <n v="122.1"/>
    <n v="131.1"/>
    <n v="495.79999999999995"/>
    <n v="123.94999999999999"/>
  </r>
  <r>
    <s v="Rural"/>
    <x v="3"/>
    <x v="8"/>
    <n v="130.80000000000001"/>
    <n v="138.19999999999999"/>
    <n v="130.5"/>
    <n v="135.5"/>
    <n v="120.2"/>
    <n v="139.19999999999999"/>
    <n v="149.5"/>
    <n v="170.4"/>
    <n v="113.1"/>
    <n v="135.80000000000001"/>
    <n v="128.80000000000001"/>
    <n v="141.5"/>
    <n v="1641.9"/>
    <n v="137.19999999999999"/>
    <n v="139.9"/>
    <n v="517.20000000000005"/>
    <n v="138.5"/>
    <n v="133.5"/>
    <n v="409.8"/>
    <n v="137.80000000000001"/>
    <n v="127.9"/>
    <n v="259"/>
    <n v="129.69999999999999"/>
    <n v="131.1"/>
    <n v="127.8"/>
    <n v="117"/>
    <n v="125.7"/>
    <n v="132.19999999999999"/>
    <n v="122.8"/>
    <n v="124.9"/>
    <n v="133.4"/>
    <n v="510"/>
    <n v="127.49999999999999"/>
  </r>
  <r>
    <s v="Urban"/>
    <x v="3"/>
    <x v="8"/>
    <n v="128.1"/>
    <n v="137.69999999999999"/>
    <n v="130.6"/>
    <n v="132.6"/>
    <n v="111.9"/>
    <n v="132.5"/>
    <n v="152.9"/>
    <n v="173.6"/>
    <n v="115.1"/>
    <n v="144.80000000000001"/>
    <n v="122.1"/>
    <n v="138.80000000000001"/>
    <n v="1634.3"/>
    <n v="135.69999999999999"/>
    <n v="143.9"/>
    <n v="508"/>
    <n v="128.69999999999999"/>
    <n v="121.6"/>
    <n v="378"/>
    <n v="127.7"/>
    <n v="127.9"/>
    <n v="252.2"/>
    <n v="114.8"/>
    <n v="124.3"/>
    <n v="121.4"/>
    <n v="111.8"/>
    <n v="120.8"/>
    <n v="131.6"/>
    <n v="121.2"/>
    <n v="120.5"/>
    <n v="128"/>
    <n v="482.5"/>
    <n v="120.625"/>
  </r>
  <r>
    <s v="Rural+Urban"/>
    <x v="3"/>
    <x v="8"/>
    <n v="129.9"/>
    <n v="138"/>
    <n v="130.5"/>
    <n v="134.4"/>
    <n v="117.2"/>
    <n v="136.1"/>
    <n v="150.69999999999999"/>
    <n v="171.5"/>
    <n v="113.8"/>
    <n v="138.80000000000001"/>
    <n v="126"/>
    <n v="140.19999999999999"/>
    <n v="1637.7"/>
    <n v="136.6"/>
    <n v="141"/>
    <n v="512"/>
    <n v="134.6"/>
    <n v="128.6"/>
    <n v="397"/>
    <n v="133.80000000000001"/>
    <n v="127.9"/>
    <n v="255.8"/>
    <n v="124.1"/>
    <n v="127.9"/>
    <n v="125.4"/>
    <n v="114.3"/>
    <n v="122.9"/>
    <n v="131.80000000000001"/>
    <n v="122.1"/>
    <n v="122.8"/>
    <n v="130.9"/>
    <n v="498.1"/>
    <n v="124.52500000000001"/>
  </r>
  <r>
    <s v="Rural"/>
    <x v="3"/>
    <x v="9"/>
    <n v="131.30000000000001"/>
    <n v="137.6"/>
    <n v="130.1"/>
    <n v="136"/>
    <n v="120.8"/>
    <n v="138.4"/>
    <n v="149.19999999999999"/>
    <n v="170.2"/>
    <n v="113.4"/>
    <n v="136.30000000000001"/>
    <n v="128.69999999999999"/>
    <n v="142.4"/>
    <n v="1643.0999999999997"/>
    <n v="137.4"/>
    <n v="140.9"/>
    <n v="519.1"/>
    <n v="139.6"/>
    <n v="134.30000000000001"/>
    <n v="412.7"/>
    <n v="138.80000000000001"/>
    <n v="128.69999999999999"/>
    <n v="260.5"/>
    <n v="129.80000000000001"/>
    <n v="131.80000000000001"/>
    <n v="128.69999999999999"/>
    <n v="117.8"/>
    <n v="126.5"/>
    <n v="133"/>
    <n v="123"/>
    <n v="125.7"/>
    <n v="133.80000000000001"/>
    <n v="512.40000000000009"/>
    <n v="128.10000000000002"/>
  </r>
  <r>
    <s v="Urban"/>
    <x v="3"/>
    <x v="9"/>
    <n v="128.69999999999999"/>
    <n v="138.4"/>
    <n v="130.30000000000001"/>
    <n v="132.69999999999999"/>
    <n v="112.5"/>
    <n v="130.4"/>
    <n v="155.1"/>
    <n v="175.7"/>
    <n v="115.4"/>
    <n v="145.30000000000001"/>
    <n v="122.5"/>
    <n v="139.6"/>
    <n v="1640.4"/>
    <n v="136.30000000000001"/>
    <n v="144.30000000000001"/>
    <n v="508.8"/>
    <n v="129.1"/>
    <n v="121.9"/>
    <n v="379"/>
    <n v="128"/>
    <n v="128.69999999999999"/>
    <n v="253.2"/>
    <n v="115.2"/>
    <n v="124.5"/>
    <n v="121.8"/>
    <n v="112.8"/>
    <n v="121.2"/>
    <n v="131.9"/>
    <n v="120.8"/>
    <n v="120.9"/>
    <n v="128.6"/>
    <n v="484.4"/>
    <n v="121.1"/>
  </r>
  <r>
    <s v="Rural+Urban"/>
    <x v="3"/>
    <x v="9"/>
    <n v="130.5"/>
    <n v="137.9"/>
    <n v="130.19999999999999"/>
    <n v="134.80000000000001"/>
    <n v="117.8"/>
    <n v="134.69999999999999"/>
    <n v="151.19999999999999"/>
    <n v="172.1"/>
    <n v="114.1"/>
    <n v="139.30000000000001"/>
    <n v="126.1"/>
    <n v="141.1"/>
    <n v="1640.7"/>
    <n v="137"/>
    <n v="141.80000000000001"/>
    <n v="513.5"/>
    <n v="135.5"/>
    <n v="129.1"/>
    <n v="399.1"/>
    <n v="134.5"/>
    <n v="128.69999999999999"/>
    <n v="257.10000000000002"/>
    <n v="124.3"/>
    <n v="128.4"/>
    <n v="126.1"/>
    <n v="115.2"/>
    <n v="123.5"/>
    <n v="132.4"/>
    <n v="122.1"/>
    <n v="123.4"/>
    <n v="131.4"/>
    <n v="500.30000000000007"/>
    <n v="125.075"/>
  </r>
  <r>
    <s v="Rural"/>
    <x v="3"/>
    <x v="10"/>
    <n v="132"/>
    <n v="137.4"/>
    <n v="130.6"/>
    <n v="136.19999999999999"/>
    <n v="121.1"/>
    <n v="136.9"/>
    <n v="141.80000000000001"/>
    <n v="170"/>
    <n v="113.4"/>
    <n v="136.80000000000001"/>
    <n v="128.69999999999999"/>
    <n v="143.1"/>
    <n v="1635.8999999999999"/>
    <n v="136.6"/>
    <n v="141.19999999999999"/>
    <n v="520.29999999999995"/>
    <n v="139.9"/>
    <n v="134.5"/>
    <n v="413.59999999999997"/>
    <n v="139.19999999999999"/>
    <n v="129.1"/>
    <n v="261.2"/>
    <n v="130.30000000000001"/>
    <n v="132.1"/>
    <n v="129.1"/>
    <n v="118.2"/>
    <n v="126.9"/>
    <n v="133.69999999999999"/>
    <n v="123.5"/>
    <n v="126.1"/>
    <n v="133.6"/>
    <n v="514.29999999999995"/>
    <n v="128.57499999999999"/>
  </r>
  <r>
    <s v="Urban"/>
    <x v="3"/>
    <x v="10"/>
    <n v="130.19999999999999"/>
    <n v="138.5"/>
    <n v="134.1"/>
    <n v="132.9"/>
    <n v="112.6"/>
    <n v="130.80000000000001"/>
    <n v="142"/>
    <n v="174.9"/>
    <n v="115.6"/>
    <n v="145.4"/>
    <n v="122.7"/>
    <n v="140.30000000000001"/>
    <n v="1632.5"/>
    <n v="135.19999999999999"/>
    <n v="144.30000000000001"/>
    <n v="510"/>
    <n v="129.6"/>
    <n v="122.1"/>
    <n v="380.2"/>
    <n v="128.5"/>
    <n v="129.1"/>
    <n v="253.8"/>
    <n v="116.2"/>
    <n v="124.7"/>
    <n v="122.1"/>
    <n v="113.4"/>
    <n v="121.7"/>
    <n v="132.1"/>
    <n v="121.3"/>
    <n v="121.3"/>
    <n v="128.5"/>
    <n v="486.4"/>
    <n v="121.6"/>
  </r>
  <r>
    <s v="Rural+Urban"/>
    <x v="3"/>
    <x v="10"/>
    <n v="131.4"/>
    <n v="137.80000000000001"/>
    <n v="132"/>
    <n v="135"/>
    <n v="118"/>
    <n v="134.1"/>
    <n v="141.9"/>
    <n v="171.7"/>
    <n v="114.1"/>
    <n v="139.69999999999999"/>
    <n v="126.2"/>
    <n v="141.80000000000001"/>
    <n v="1633.6"/>
    <n v="136.1"/>
    <n v="142"/>
    <n v="514.79999999999995"/>
    <n v="135.80000000000001"/>
    <n v="129.30000000000001"/>
    <n v="400.1"/>
    <n v="135"/>
    <n v="129.1"/>
    <n v="257.7"/>
    <n v="125"/>
    <n v="128.6"/>
    <n v="126.4"/>
    <n v="115.7"/>
    <n v="124"/>
    <n v="132.80000000000001"/>
    <n v="122.6"/>
    <n v="123.8"/>
    <n v="131.19999999999999"/>
    <n v="502.1"/>
    <n v="125.52500000000001"/>
  </r>
  <r>
    <s v="Rural"/>
    <x v="3"/>
    <x v="11"/>
    <n v="132.6"/>
    <n v="137.30000000000001"/>
    <n v="131.6"/>
    <n v="136.30000000000001"/>
    <n v="121.6"/>
    <n v="135.6"/>
    <n v="127.5"/>
    <n v="167.9"/>
    <n v="113.8"/>
    <n v="137.5"/>
    <n v="129.1"/>
    <n v="143.6"/>
    <n v="1620"/>
    <n v="134.69999999999999"/>
    <n v="142.4"/>
    <n v="520.70000000000005"/>
    <n v="140.4"/>
    <n v="135.19999999999999"/>
    <n v="415.3"/>
    <n v="139.69999999999999"/>
    <s v="128..5"/>
    <n v="132.9"/>
    <n v="132"/>
    <n v="132.9"/>
    <n v="129.69999999999999"/>
    <n v="118.6"/>
    <n v="127.3"/>
    <n v="134.19999999999999"/>
    <n v="121.9"/>
    <n v="126.3"/>
    <n v="132.80000000000001"/>
    <n v="517.69999999999993"/>
    <n v="129.42500000000001"/>
  </r>
  <r>
    <s v="Urban"/>
    <x v="3"/>
    <x v="11"/>
    <n v="131.6"/>
    <n v="138.19999999999999"/>
    <n v="134.9"/>
    <n v="133.1"/>
    <n v="113.5"/>
    <n v="129.30000000000001"/>
    <n v="121.1"/>
    <n v="170.3"/>
    <n v="115.5"/>
    <n v="145.5"/>
    <n v="123.1"/>
    <n v="140.9"/>
    <n v="1606.7"/>
    <n v="132.80000000000001"/>
    <n v="145"/>
    <n v="509.80000000000007"/>
    <n v="130"/>
    <n v="122.2"/>
    <n v="381"/>
    <n v="128.80000000000001"/>
    <n v="128.5"/>
    <n v="253.5"/>
    <n v="117.8"/>
    <n v="125"/>
    <n v="122.3"/>
    <n v="113.7"/>
    <n v="121.8"/>
    <n v="132.30000000000001"/>
    <n v="119.9"/>
    <n v="121.4"/>
    <n v="127.6"/>
    <n v="488.8"/>
    <n v="122.2"/>
  </r>
  <r>
    <s v="Rural+Urban"/>
    <x v="3"/>
    <x v="11"/>
    <n v="132.30000000000001"/>
    <n v="137.6"/>
    <n v="132.9"/>
    <n v="135.1"/>
    <n v="118.6"/>
    <n v="132.69999999999999"/>
    <n v="125.3"/>
    <n v="168.7"/>
    <n v="114.4"/>
    <n v="140.19999999999999"/>
    <n v="126.6"/>
    <n v="142.30000000000001"/>
    <n v="1614.1"/>
    <n v="134"/>
    <n v="143.1"/>
    <n v="515"/>
    <n v="136.30000000000001"/>
    <n v="129.80000000000001"/>
    <n v="401.5"/>
    <n v="135.4"/>
    <n v="128.5"/>
    <n v="257.7"/>
    <n v="126.6"/>
    <n v="129.19999999999999"/>
    <n v="126.9"/>
    <n v="116"/>
    <n v="124.2"/>
    <n v="133.1"/>
    <n v="121.1"/>
    <n v="123.9"/>
    <n v="130.4"/>
    <n v="504.9"/>
    <n v="126.22499999999999"/>
  </r>
  <r>
    <s v="Rural"/>
    <x v="4"/>
    <x v="0"/>
    <n v="133.1"/>
    <n v="137.80000000000001"/>
    <n v="131.9"/>
    <n v="136.69999999999999"/>
    <n v="122"/>
    <n v="136"/>
    <n v="119.8"/>
    <n v="161.69999999999999"/>
    <n v="114.8"/>
    <n v="136.9"/>
    <n v="129"/>
    <n v="143.9"/>
    <n v="1608.3"/>
    <n v="133.69999999999999"/>
    <n v="143.1"/>
    <n v="521.4"/>
    <n v="140.69999999999999"/>
    <n v="135.80000000000001"/>
    <n v="416.5"/>
    <n v="140"/>
    <n v="129.6"/>
    <n v="262.79999999999995"/>
    <n v="132.1"/>
    <n v="133.19999999999999"/>
    <n v="129.9"/>
    <n v="119.1"/>
    <n v="127"/>
    <n v="134.6"/>
    <n v="122.3"/>
    <n v="126.6"/>
    <n v="132.4"/>
    <n v="519"/>
    <n v="129.75"/>
  </r>
  <r>
    <s v="Urban"/>
    <x v="4"/>
    <x v="0"/>
    <n v="132.19999999999999"/>
    <n v="138.9"/>
    <n v="132.6"/>
    <n v="133.1"/>
    <n v="114"/>
    <n v="129.6"/>
    <n v="118.7"/>
    <n v="155.1"/>
    <n v="117.3"/>
    <n v="144.9"/>
    <n v="123.2"/>
    <n v="141.6"/>
    <n v="1590"/>
    <n v="132"/>
    <n v="145.6"/>
    <n v="511.70000000000005"/>
    <n v="130.19999999999999"/>
    <n v="122.3"/>
    <n v="381.5"/>
    <n v="129"/>
    <n v="129.6"/>
    <n v="254.7"/>
    <n v="118"/>
    <n v="125.1"/>
    <n v="122.6"/>
    <n v="115.2"/>
    <n v="122"/>
    <n v="132.4"/>
    <n v="120.9"/>
    <n v="122.1"/>
    <n v="127.8"/>
    <n v="490.70000000000005"/>
    <n v="122.67500000000001"/>
  </r>
  <r>
    <s v="Rural+Urban"/>
    <x v="4"/>
    <x v="0"/>
    <n v="132.80000000000001"/>
    <n v="138.19999999999999"/>
    <n v="132.19999999999999"/>
    <n v="135.4"/>
    <n v="119.1"/>
    <n v="133"/>
    <n v="119.4"/>
    <n v="159.5"/>
    <n v="115.6"/>
    <n v="139.6"/>
    <n v="126.6"/>
    <n v="142.80000000000001"/>
    <n v="1600.7"/>
    <n v="133.1"/>
    <n v="143.80000000000001"/>
    <n v="516.29999999999995"/>
    <n v="136.6"/>
    <n v="130.19999999999999"/>
    <n v="402.4"/>
    <n v="135.6"/>
    <n v="129.6"/>
    <n v="259"/>
    <n v="126.8"/>
    <n v="129.4"/>
    <n v="127.1"/>
    <n v="117"/>
    <n v="124.2"/>
    <n v="133.30000000000001"/>
    <n v="121.7"/>
    <n v="124.4"/>
    <n v="130.30000000000001"/>
    <n v="506.5"/>
    <n v="126.62500000000001"/>
  </r>
  <r>
    <s v="Rural"/>
    <x v="4"/>
    <x v="1"/>
    <n v="133.30000000000001"/>
    <n v="138.30000000000001"/>
    <n v="129.30000000000001"/>
    <n v="137.19999999999999"/>
    <n v="122.1"/>
    <n v="138.69999999999999"/>
    <n v="119.1"/>
    <n v="156.9"/>
    <n v="116.2"/>
    <n v="136"/>
    <n v="129.4"/>
    <n v="144.4"/>
    <n v="1605.0999999999997"/>
    <n v="133.6"/>
    <n v="143.69999999999999"/>
    <n v="524"/>
    <n v="140.9"/>
    <n v="135.80000000000001"/>
    <n v="416.90000000000003"/>
    <n v="140.19999999999999"/>
    <n v="130.5"/>
    <n v="264.10000000000002"/>
    <n v="133.19999999999999"/>
    <n v="133.6"/>
    <n v="130.1"/>
    <n v="119.5"/>
    <n v="127.7"/>
    <n v="134.9"/>
    <n v="123.2"/>
    <n v="127"/>
    <n v="132.6"/>
    <n v="521.20000000000005"/>
    <n v="130.30000000000001"/>
  </r>
  <r>
    <s v="Urban"/>
    <x v="4"/>
    <x v="1"/>
    <n v="132.80000000000001"/>
    <n v="139.80000000000001"/>
    <n v="129.30000000000001"/>
    <n v="133.5"/>
    <n v="114.3"/>
    <n v="131.4"/>
    <n v="120.2"/>
    <n v="143.1"/>
    <n v="119.5"/>
    <n v="144"/>
    <n v="123.4"/>
    <n v="141.9"/>
    <n v="1581.8999999999999"/>
    <n v="132.1"/>
    <n v="146.30000000000001"/>
    <n v="513.6"/>
    <n v="130.5"/>
    <n v="122.5"/>
    <n v="382.3"/>
    <n v="129.30000000000001"/>
    <n v="130.5"/>
    <n v="255.8"/>
    <n v="119.2"/>
    <n v="125.3"/>
    <n v="122.9"/>
    <n v="115.5"/>
    <n v="122.2"/>
    <n v="132.4"/>
    <n v="121.7"/>
    <n v="122.4"/>
    <n v="128.19999999999999"/>
    <n v="492.40000000000003"/>
    <n v="123.1"/>
  </r>
  <r>
    <s v="Rural+Urban"/>
    <x v="4"/>
    <x v="1"/>
    <n v="133.1"/>
    <n v="138.80000000000001"/>
    <n v="129.30000000000001"/>
    <n v="135.80000000000001"/>
    <n v="119.2"/>
    <n v="135.30000000000001"/>
    <n v="119.5"/>
    <n v="152.19999999999999"/>
    <n v="117.3"/>
    <n v="138.69999999999999"/>
    <n v="126.9"/>
    <n v="143.19999999999999"/>
    <n v="1595.3999999999999"/>
    <n v="133"/>
    <n v="144.4"/>
    <n v="518.5"/>
    <n v="136.80000000000001"/>
    <n v="130.30000000000001"/>
    <n v="403"/>
    <n v="135.9"/>
    <n v="130.5"/>
    <n v="260.2"/>
    <n v="127.9"/>
    <n v="129.69999999999999"/>
    <n v="127.4"/>
    <n v="117.4"/>
    <n v="124.6"/>
    <n v="133.4"/>
    <n v="122.6"/>
    <n v="124.8"/>
    <n v="130.6"/>
    <n v="508.40000000000003"/>
    <n v="127.1"/>
  </r>
  <r>
    <s v="Rural"/>
    <x v="4"/>
    <x v="2"/>
    <n v="133.6"/>
    <n v="138.80000000000001"/>
    <n v="128.80000000000001"/>
    <n v="137.19999999999999"/>
    <n v="121.6"/>
    <n v="139.69999999999999"/>
    <n v="119.7"/>
    <n v="148"/>
    <n v="116.9"/>
    <n v="135.6"/>
    <n v="129.80000000000001"/>
    <n v="145.4"/>
    <n v="1598.6999999999998"/>
    <n v="133.4"/>
    <n v="144.19999999999999"/>
    <n v="525.6"/>
    <n v="141.6"/>
    <n v="136.19999999999999"/>
    <n v="418.59999999999997"/>
    <n v="140.80000000000001"/>
    <n v="131.1"/>
    <n v="265.2"/>
    <n v="134.19999999999999"/>
    <n v="134.1"/>
    <n v="130.6"/>
    <n v="119.8"/>
    <n v="128.30000000000001"/>
    <n v="135.19999999999999"/>
    <n v="123.3"/>
    <n v="127.4"/>
    <n v="132.80000000000001"/>
    <n v="523.29999999999995"/>
    <n v="130.82499999999999"/>
  </r>
  <r>
    <s v="Urban"/>
    <x v="4"/>
    <x v="2"/>
    <n v="132.69999999999999"/>
    <n v="139.4"/>
    <n v="128.4"/>
    <n v="134.9"/>
    <n v="114"/>
    <n v="136.80000000000001"/>
    <n v="122.2"/>
    <n v="135.80000000000001"/>
    <n v="120.3"/>
    <n v="142.6"/>
    <n v="123.6"/>
    <n v="142.4"/>
    <n v="1582.1000000000004"/>
    <n v="132.6"/>
    <n v="147.5"/>
    <n v="515.20000000000005"/>
    <n v="130.80000000000001"/>
    <n v="122.8"/>
    <n v="383.20000000000005"/>
    <n v="129.6"/>
    <n v="131.1"/>
    <n v="256.7"/>
    <n v="120.8"/>
    <n v="125.6"/>
    <n v="123.1"/>
    <n v="115.6"/>
    <n v="122.4"/>
    <n v="132.80000000000001"/>
    <n v="121.7"/>
    <n v="122.6"/>
    <n v="128.69999999999999"/>
    <n v="494.79999999999995"/>
    <n v="123.7"/>
  </r>
  <r>
    <s v="Rural+Urban"/>
    <x v="4"/>
    <x v="2"/>
    <n v="133.30000000000001"/>
    <n v="139"/>
    <n v="128.6"/>
    <n v="136.30000000000001"/>
    <n v="118.8"/>
    <n v="138.30000000000001"/>
    <n v="120.5"/>
    <n v="143.9"/>
    <n v="118"/>
    <n v="137.9"/>
    <n v="127.2"/>
    <n v="144"/>
    <n v="1591.6999999999996"/>
    <n v="133.1"/>
    <n v="145.1"/>
    <n v="519.9"/>
    <n v="137.30000000000001"/>
    <n v="130.6"/>
    <n v="404.29999999999995"/>
    <n v="136.4"/>
    <n v="131.1"/>
    <n v="261.2"/>
    <n v="129.1"/>
    <n v="130.1"/>
    <n v="127.8"/>
    <n v="117.6"/>
    <n v="125"/>
    <n v="133.80000000000001"/>
    <n v="122.6"/>
    <n v="125.1"/>
    <n v="130.9"/>
    <n v="510.6"/>
    <n v="127.65"/>
  </r>
  <r>
    <s v="Rural"/>
    <x v="4"/>
    <x v="3"/>
    <n v="133.19999999999999"/>
    <n v="138.69999999999999"/>
    <n v="127.1"/>
    <n v="137.69999999999999"/>
    <n v="121.3"/>
    <n v="141.80000000000001"/>
    <n v="121.5"/>
    <n v="144.5"/>
    <n v="117.4"/>
    <n v="134.1"/>
    <n v="130"/>
    <n v="145.5"/>
    <n v="1596.3"/>
    <n v="133.5"/>
    <n v="144.4"/>
    <n v="526.4"/>
    <n v="142.4"/>
    <n v="136.80000000000001"/>
    <n v="420.80000000000007"/>
    <n v="141.6"/>
    <n v="131.69999999999999"/>
    <n v="266"/>
    <n v="135"/>
    <n v="134.30000000000001"/>
    <n v="131"/>
    <n v="119.2"/>
    <n v="128.30000000000001"/>
    <n v="135.69999999999999"/>
    <n v="123.7"/>
    <n v="127.5"/>
    <n v="132.9"/>
    <n v="524.20000000000005"/>
    <n v="131.05000000000001"/>
  </r>
  <r>
    <s v="Urban"/>
    <x v="4"/>
    <x v="3"/>
    <n v="132.69999999999999"/>
    <n v="140.6"/>
    <n v="124.5"/>
    <n v="136.30000000000001"/>
    <n v="113.5"/>
    <n v="137.69999999999999"/>
    <n v="127.1"/>
    <n v="133.80000000000001"/>
    <n v="120.8"/>
    <n v="141.30000000000001"/>
    <n v="123.8"/>
    <n v="142.6"/>
    <n v="1584.3"/>
    <n v="133.4"/>
    <n v="148"/>
    <n v="516.6"/>
    <n v="131.19999999999999"/>
    <n v="123"/>
    <n v="384.2"/>
    <n v="130"/>
    <n v="131.69999999999999"/>
    <n v="257.7"/>
    <n v="121.4"/>
    <n v="126"/>
    <n v="123.4"/>
    <n v="114.3"/>
    <n v="122.6"/>
    <n v="133.6"/>
    <n v="122.2"/>
    <n v="122.5"/>
    <n v="129.1"/>
    <n v="495.29999999999995"/>
    <n v="123.82499999999999"/>
  </r>
  <r>
    <s v="Rural+Urban"/>
    <x v="4"/>
    <x v="3"/>
    <n v="133"/>
    <n v="139.4"/>
    <n v="126.1"/>
    <n v="137.19999999999999"/>
    <n v="118.4"/>
    <n v="139.9"/>
    <n v="123.4"/>
    <n v="140.9"/>
    <n v="118.5"/>
    <n v="136.5"/>
    <n v="127.4"/>
    <n v="144.19999999999999"/>
    <n v="1591"/>
    <n v="133.5"/>
    <n v="145.4"/>
    <n v="521"/>
    <n v="138"/>
    <n v="131.1"/>
    <n v="406.1"/>
    <n v="137"/>
    <n v="131.69999999999999"/>
    <n v="262.10000000000002"/>
    <n v="129.80000000000001"/>
    <n v="130.4"/>
    <n v="128.1"/>
    <n v="116.6"/>
    <n v="125.1"/>
    <n v="134.5"/>
    <n v="123.1"/>
    <n v="125.1"/>
    <n v="131.1"/>
    <n v="511.29999999999995"/>
    <n v="127.825"/>
  </r>
  <r>
    <s v="Rural"/>
    <x v="4"/>
    <x v="4"/>
    <n v="133.1"/>
    <n v="140.30000000000001"/>
    <n v="126.8"/>
    <n v="138.19999999999999"/>
    <n v="120.8"/>
    <n v="140.19999999999999"/>
    <n v="123.8"/>
    <n v="141.80000000000001"/>
    <n v="118.6"/>
    <n v="134"/>
    <n v="130.30000000000001"/>
    <n v="145.80000000000001"/>
    <n v="1597.1999999999998"/>
    <n v="133.80000000000001"/>
    <n v="145.5"/>
    <n v="528.90000000000009"/>
    <n v="142.5"/>
    <n v="137.30000000000001"/>
    <n v="421.6"/>
    <n v="141.80000000000001"/>
    <n v="132.1"/>
    <n v="267"/>
    <n v="135"/>
    <n v="134.9"/>
    <n v="131.4"/>
    <n v="119.4"/>
    <n v="129.4"/>
    <n v="136.30000000000001"/>
    <n v="123.7"/>
    <n v="127.9"/>
    <n v="133.30000000000001"/>
    <n v="525.6"/>
    <n v="131.4"/>
  </r>
  <r>
    <s v="Urban"/>
    <x v="4"/>
    <x v="4"/>
    <n v="132.6"/>
    <n v="144.1"/>
    <n v="125.6"/>
    <n v="136.80000000000001"/>
    <n v="113.4"/>
    <n v="135.19999999999999"/>
    <n v="129.19999999999999"/>
    <n v="131.5"/>
    <n v="121"/>
    <n v="139.9"/>
    <n v="123.8"/>
    <n v="142.9"/>
    <n v="1585.7999999999997"/>
    <n v="133.6"/>
    <n v="148.30000000000001"/>
    <n v="516.90000000000009"/>
    <n v="131.5"/>
    <n v="123.2"/>
    <n v="384.9"/>
    <n v="130.19999999999999"/>
    <n v="132.1"/>
    <n v="258.60000000000002"/>
    <n v="120.1"/>
    <n v="126.5"/>
    <n v="123.6"/>
    <n v="114.3"/>
    <n v="122.8"/>
    <n v="133.80000000000001"/>
    <n v="122"/>
    <n v="122.6"/>
    <n v="129.30000000000001"/>
    <n v="494.70000000000005"/>
    <n v="123.67500000000001"/>
  </r>
  <r>
    <s v="Rural+Urban"/>
    <x v="4"/>
    <x v="4"/>
    <n v="132.9"/>
    <n v="141.6"/>
    <n v="126.3"/>
    <n v="137.69999999999999"/>
    <n v="118.1"/>
    <n v="137.9"/>
    <n v="125.6"/>
    <n v="138.30000000000001"/>
    <n v="119.4"/>
    <n v="136"/>
    <n v="127.6"/>
    <n v="144.5"/>
    <n v="1592"/>
    <n v="133.69999999999999"/>
    <n v="146.19999999999999"/>
    <n v="522.5"/>
    <n v="138.19999999999999"/>
    <n v="131.4"/>
    <n v="406.8"/>
    <n v="137.19999999999999"/>
    <n v="132.1"/>
    <n v="263"/>
    <n v="129.4"/>
    <n v="130.9"/>
    <n v="128.4"/>
    <n v="116.7"/>
    <n v="125.7"/>
    <n v="134.80000000000001"/>
    <n v="123"/>
    <n v="125.3"/>
    <n v="131.4"/>
    <n v="511.79999999999995"/>
    <n v="127.94999999999999"/>
  </r>
  <r>
    <s v="Rural"/>
    <x v="4"/>
    <x v="5"/>
    <n v="133.5"/>
    <n v="143.69999999999999"/>
    <n v="128"/>
    <n v="138.6"/>
    <n v="120.9"/>
    <n v="140.9"/>
    <n v="128.80000000000001"/>
    <n v="140.19999999999999"/>
    <n v="118.9"/>
    <n v="133.5"/>
    <n v="130.4"/>
    <n v="146.5"/>
    <n v="1608.3999999999999"/>
    <n v="134.9"/>
    <n v="145.80000000000001"/>
    <n v="530.1"/>
    <n v="143.1"/>
    <n v="137.69999999999999"/>
    <n v="423.09999999999997"/>
    <n v="142.30000000000001"/>
    <n v="131.4"/>
    <n v="266.60000000000002"/>
    <n v="134.80000000000001"/>
    <n v="135.19999999999999"/>
    <n v="131.30000000000001"/>
    <n v="119.4"/>
    <n v="129.80000000000001"/>
    <n v="136.9"/>
    <n v="124.1"/>
    <n v="128.1"/>
    <n v="133.9"/>
    <n v="526.29999999999995"/>
    <n v="131.57499999999999"/>
  </r>
  <r>
    <s v="Urban"/>
    <x v="4"/>
    <x v="5"/>
    <n v="132.9"/>
    <n v="148.69999999999999"/>
    <n v="128.30000000000001"/>
    <n v="137.30000000000001"/>
    <n v="113.5"/>
    <n v="137.19999999999999"/>
    <n v="142.19999999999999"/>
    <n v="128.19999999999999"/>
    <n v="120.9"/>
    <n v="138.80000000000001"/>
    <n v="124.2"/>
    <n v="143.1"/>
    <n v="1606.8000000000002"/>
    <n v="135.69999999999999"/>
    <n v="148.6"/>
    <n v="518.20000000000005"/>
    <n v="131.5"/>
    <n v="123.2"/>
    <n v="384.9"/>
    <n v="130.19999999999999"/>
    <n v="131.4"/>
    <n v="258.2"/>
    <n v="119"/>
    <n v="126.8"/>
    <n v="123.8"/>
    <n v="113.9"/>
    <n v="122.9"/>
    <n v="134.30000000000001"/>
    <n v="122.5"/>
    <n v="122.7"/>
    <n v="129.9"/>
    <n v="494.00000000000006"/>
    <n v="123.5"/>
  </r>
  <r>
    <s v="Rural+Urban"/>
    <x v="4"/>
    <x v="5"/>
    <n v="133.30000000000001"/>
    <n v="145.5"/>
    <n v="128.1"/>
    <n v="138.1"/>
    <n v="118.2"/>
    <n v="139.19999999999999"/>
    <n v="133.30000000000001"/>
    <n v="136.19999999999999"/>
    <n v="119.6"/>
    <n v="135.30000000000001"/>
    <n v="127.8"/>
    <n v="144.9"/>
    <n v="1606.8999999999999"/>
    <n v="135.19999999999999"/>
    <n v="146.5"/>
    <n v="523.6"/>
    <n v="138.5"/>
    <n v="131.69999999999999"/>
    <n v="407.7"/>
    <n v="137.5"/>
    <n v="131.4"/>
    <n v="262.60000000000002"/>
    <n v="128.80000000000001"/>
    <n v="131.19999999999999"/>
    <n v="128.5"/>
    <n v="116.5"/>
    <n v="125.9"/>
    <n v="135.4"/>
    <n v="123.4"/>
    <n v="125.5"/>
    <n v="132"/>
    <n v="511.90000000000003"/>
    <n v="127.97500000000001"/>
  </r>
  <r>
    <s v="Rural"/>
    <x v="4"/>
    <x v="6"/>
    <n v="134"/>
    <n v="144.19999999999999"/>
    <n v="129.80000000000001"/>
    <n v="139"/>
    <n v="120.9"/>
    <n v="143.9"/>
    <n v="151.5"/>
    <n v="138.1"/>
    <n v="120"/>
    <n v="133.9"/>
    <n v="131.4"/>
    <n v="147.69999999999999"/>
    <n v="1641.5"/>
    <n v="138.5"/>
    <n v="147.4"/>
    <n v="533.79999999999995"/>
    <n v="144.30000000000001"/>
    <n v="138.1"/>
    <n v="425.9"/>
    <n v="143.5"/>
    <n v="132.6"/>
    <n v="268.7"/>
    <n v="135.30000000000001"/>
    <n v="136.1"/>
    <n v="132.1"/>
    <n v="119.1"/>
    <n v="130.6"/>
    <n v="138.6"/>
    <n v="124.4"/>
    <n v="128.6"/>
    <n v="136.19999999999999"/>
    <n v="529.1"/>
    <n v="132.27499999999998"/>
  </r>
  <r>
    <s v="Urban"/>
    <x v="4"/>
    <x v="6"/>
    <n v="132.80000000000001"/>
    <n v="148.4"/>
    <n v="129.4"/>
    <n v="137.69999999999999"/>
    <n v="113.4"/>
    <n v="139.4"/>
    <n v="175.1"/>
    <n v="124.7"/>
    <n v="121.5"/>
    <n v="137.80000000000001"/>
    <n v="124.4"/>
    <n v="143.69999999999999"/>
    <n v="1643.7"/>
    <n v="139.80000000000001"/>
    <n v="150.5"/>
    <n v="520.79999999999995"/>
    <n v="131.6"/>
    <n v="123.7"/>
    <n v="385.70000000000005"/>
    <n v="130.4"/>
    <n v="132.6"/>
    <n v="259.8"/>
    <n v="119.7"/>
    <n v="127.2"/>
    <n v="125"/>
    <n v="113.2"/>
    <n v="123.5"/>
    <n v="135.5"/>
    <n v="122.4"/>
    <n v="123"/>
    <n v="131.80000000000001"/>
    <n v="495.59999999999997"/>
    <n v="123.89999999999999"/>
  </r>
  <r>
    <s v="Rural+Urban"/>
    <x v="4"/>
    <x v="6"/>
    <n v="133.6"/>
    <n v="145.69999999999999"/>
    <n v="129.6"/>
    <n v="138.5"/>
    <n v="118.1"/>
    <n v="141.80000000000001"/>
    <n v="159.5"/>
    <n v="133.6"/>
    <n v="120.5"/>
    <n v="135.19999999999999"/>
    <n v="128.5"/>
    <n v="145.80000000000001"/>
    <n v="1640.8999999999999"/>
    <n v="139"/>
    <n v="148.19999999999999"/>
    <n v="526.9"/>
    <n v="139.30000000000001"/>
    <n v="132.1"/>
    <n v="409.7"/>
    <n v="138.30000000000001"/>
    <n v="132.6"/>
    <n v="264.5"/>
    <n v="129.4"/>
    <n v="131.9"/>
    <n v="129.4"/>
    <n v="116"/>
    <n v="126.6"/>
    <n v="136.80000000000001"/>
    <n v="123.6"/>
    <n v="125.9"/>
    <n v="134.19999999999999"/>
    <n v="514.1"/>
    <n v="128.52500000000001"/>
  </r>
  <r>
    <s v="Rural"/>
    <x v="4"/>
    <x v="7"/>
    <n v="134.80000000000001"/>
    <n v="143.1"/>
    <n v="130"/>
    <n v="139.4"/>
    <n v="120.5"/>
    <n v="148"/>
    <n v="162.9"/>
    <n v="137.4"/>
    <n v="120.8"/>
    <n v="134.69999999999999"/>
    <n v="131.6"/>
    <n v="148.69999999999999"/>
    <n v="1660.8999999999999"/>
    <n v="140.6"/>
    <n v="149"/>
    <n v="537.5"/>
    <n v="145.30000000000001"/>
    <n v="139.19999999999999"/>
    <n v="429"/>
    <n v="144.5"/>
    <n v="134.4"/>
    <n v="271.70000000000005"/>
    <n v="136.4"/>
    <n v="137.30000000000001"/>
    <n v="133"/>
    <n v="120.3"/>
    <n v="131.5"/>
    <n v="140.19999999999999"/>
    <n v="125.4"/>
    <n v="129.69999999999999"/>
    <n v="137.80000000000001"/>
    <n v="534.20000000000005"/>
    <n v="133.55000000000001"/>
  </r>
  <r>
    <s v="Urban"/>
    <x v="4"/>
    <x v="7"/>
    <n v="133.19999999999999"/>
    <n v="143.9"/>
    <n v="128.30000000000001"/>
    <n v="138.30000000000001"/>
    <n v="114.1"/>
    <n v="142.69999999999999"/>
    <n v="179.8"/>
    <n v="123.5"/>
    <n v="122.1"/>
    <n v="137.5"/>
    <n v="124.6"/>
    <n v="144.5"/>
    <n v="1648.4000000000003"/>
    <n v="140.5"/>
    <n v="152.1"/>
    <n v="524.09999999999991"/>
    <n v="132.69999999999999"/>
    <n v="124.3"/>
    <n v="388.4"/>
    <n v="131.4"/>
    <n v="134.4"/>
    <n v="262.10000000000002"/>
    <n v="118.9"/>
    <n v="127.7"/>
    <n v="125.7"/>
    <n v="114.6"/>
    <n v="124.1"/>
    <n v="135.69999999999999"/>
    <n v="123.3"/>
    <n v="123.8"/>
    <n v="132.69999999999999"/>
    <n v="496.9"/>
    <n v="124.22499999999999"/>
  </r>
  <r>
    <s v="Rural+Urban"/>
    <x v="4"/>
    <x v="7"/>
    <n v="134.30000000000001"/>
    <n v="143.4"/>
    <n v="129.30000000000001"/>
    <n v="139"/>
    <n v="118.1"/>
    <n v="145.5"/>
    <n v="168.6"/>
    <n v="132.69999999999999"/>
    <n v="121.2"/>
    <n v="135.6"/>
    <n v="128.69999999999999"/>
    <n v="146.80000000000001"/>
    <n v="1655.1"/>
    <n v="140.6"/>
    <n v="149.80000000000001"/>
    <n v="530.29999999999995"/>
    <n v="140.30000000000001"/>
    <n v="133"/>
    <n v="412.6"/>
    <n v="139.30000000000001"/>
    <n v="134.4"/>
    <n v="267.20000000000005"/>
    <n v="129.80000000000001"/>
    <n v="132.80000000000001"/>
    <n v="130.19999999999999"/>
    <n v="117.3"/>
    <n v="127.3"/>
    <n v="137.6"/>
    <n v="124.5"/>
    <n v="126.8"/>
    <n v="135.4"/>
    <n v="517.5"/>
    <n v="129.375"/>
  </r>
  <r>
    <s v="Rural"/>
    <x v="4"/>
    <x v="8"/>
    <n v="135.19999999999999"/>
    <n v="142"/>
    <n v="130.5"/>
    <n v="140.19999999999999"/>
    <n v="120.7"/>
    <n v="147.80000000000001"/>
    <n v="154.5"/>
    <n v="137.1"/>
    <n v="121"/>
    <n v="134.69999999999999"/>
    <n v="131.69999999999999"/>
    <n v="149.30000000000001"/>
    <n v="1652.6000000000001"/>
    <n v="139.6"/>
    <n v="149.80000000000001"/>
    <n v="540.5"/>
    <n v="146.1"/>
    <n v="139.69999999999999"/>
    <n v="430.99999999999994"/>
    <n v="145.19999999999999"/>
    <n v="135.69999999999999"/>
    <n v="273.60000000000002"/>
    <n v="137.4"/>
    <n v="137.9"/>
    <n v="133.4"/>
    <n v="121.2"/>
    <n v="132.30000000000001"/>
    <n v="139.6"/>
    <n v="126.7"/>
    <n v="130.30000000000001"/>
    <n v="137.6"/>
    <n v="536.1"/>
    <n v="134.02500000000001"/>
  </r>
  <r>
    <s v="Urban"/>
    <x v="4"/>
    <x v="8"/>
    <n v="133.6"/>
    <n v="143"/>
    <n v="129.69999999999999"/>
    <n v="138.69999999999999"/>
    <n v="114.5"/>
    <n v="137.5"/>
    <n v="160.69999999999999"/>
    <n v="124.5"/>
    <n v="122.4"/>
    <n v="137.30000000000001"/>
    <n v="124.8"/>
    <n v="145"/>
    <n v="1624.9"/>
    <n v="138"/>
    <n v="153.6"/>
    <n v="527.29999999999995"/>
    <n v="133.30000000000001"/>
    <n v="124.6"/>
    <n v="389.9"/>
    <n v="132"/>
    <n v="135.69999999999999"/>
    <n v="263.79999999999995"/>
    <n v="120.6"/>
    <n v="128.1"/>
    <n v="126.1"/>
    <n v="115.7"/>
    <n v="124.5"/>
    <n v="135.9"/>
    <n v="124.4"/>
    <n v="124.5"/>
    <n v="132.4"/>
    <n v="500.30000000000007"/>
    <n v="125.07500000000002"/>
  </r>
  <r>
    <s v="Rural+Urban"/>
    <x v="4"/>
    <x v="8"/>
    <n v="134.69999999999999"/>
    <n v="142.4"/>
    <n v="130.19999999999999"/>
    <n v="139.6"/>
    <n v="118.4"/>
    <n v="143"/>
    <n v="156.6"/>
    <n v="132.9"/>
    <n v="121.5"/>
    <n v="135.6"/>
    <n v="128.80000000000001"/>
    <n v="147.30000000000001"/>
    <n v="1641.2"/>
    <n v="139"/>
    <n v="150.80000000000001"/>
    <n v="533.20000000000005"/>
    <n v="141.1"/>
    <n v="133.4"/>
    <n v="414.5"/>
    <n v="140"/>
    <n v="135.69999999999999"/>
    <n v="269"/>
    <n v="131"/>
    <n v="133.30000000000001"/>
    <n v="130.6"/>
    <n v="118.3"/>
    <n v="127.9"/>
    <n v="137.4"/>
    <n v="125.7"/>
    <n v="127.5"/>
    <n v="135.19999999999999"/>
    <n v="520"/>
    <n v="130"/>
  </r>
  <r>
    <s v="Rural"/>
    <x v="4"/>
    <x v="9"/>
    <n v="135.9"/>
    <n v="141.9"/>
    <n v="131"/>
    <n v="141.5"/>
    <n v="121.4"/>
    <n v="146.69999999999999"/>
    <n v="157.1"/>
    <n v="136.4"/>
    <n v="121.4"/>
    <n v="135.6"/>
    <n v="131.30000000000001"/>
    <n v="150.30000000000001"/>
    <n v="1659.6000000000004"/>
    <n v="140.4"/>
    <n v="150.5"/>
    <n v="542.20000000000005"/>
    <n v="147.19999999999999"/>
    <n v="140.6"/>
    <n v="433.99999999999994"/>
    <n v="146.19999999999999"/>
    <n v="137.30000000000001"/>
    <n v="275.70000000000005"/>
    <n v="138.1"/>
    <n v="138.4"/>
    <n v="134.19999999999999"/>
    <n v="121"/>
    <n v="133"/>
    <n v="140.1"/>
    <n v="127.4"/>
    <n v="130.69999999999999"/>
    <n v="138.30000000000001"/>
    <n v="537.6"/>
    <n v="134.4"/>
  </r>
  <r>
    <s v="Urban"/>
    <x v="4"/>
    <x v="9"/>
    <n v="133.9"/>
    <n v="142.80000000000001"/>
    <n v="131.4"/>
    <n v="139.1"/>
    <n v="114.9"/>
    <n v="135.6"/>
    <n v="173.2"/>
    <n v="124.1"/>
    <n v="122.6"/>
    <n v="137.80000000000001"/>
    <n v="125.1"/>
    <n v="145.5"/>
    <n v="1640.6000000000001"/>
    <n v="139.69999999999999"/>
    <n v="154.6"/>
    <n v="529.1"/>
    <n v="134"/>
    <n v="124.9"/>
    <n v="391.5"/>
    <n v="132.6"/>
    <n v="137.30000000000001"/>
    <n v="265.60000000000002"/>
    <n v="122.6"/>
    <n v="128.30000000000001"/>
    <n v="126.6"/>
    <n v="115"/>
    <n v="124.8"/>
    <n v="136.30000000000001"/>
    <n v="124.6"/>
    <n v="124.5"/>
    <n v="133.5"/>
    <n v="502.2"/>
    <n v="125.55000000000001"/>
  </r>
  <r>
    <s v="Rural+Urban"/>
    <x v="4"/>
    <x v="9"/>
    <n v="135.30000000000001"/>
    <n v="142.19999999999999"/>
    <n v="131.19999999999999"/>
    <n v="140.6"/>
    <n v="119"/>
    <n v="141.5"/>
    <n v="162.6"/>
    <n v="132.30000000000001"/>
    <n v="121.8"/>
    <n v="136.30000000000001"/>
    <n v="128.69999999999999"/>
    <n v="148.1"/>
    <n v="1651"/>
    <n v="140.1"/>
    <n v="151.6"/>
    <n v="534.9"/>
    <n v="142"/>
    <n v="134.1"/>
    <n v="416.90000000000003"/>
    <n v="140.80000000000001"/>
    <n v="137.30000000000001"/>
    <n v="270.89999999999998"/>
    <n v="132.19999999999999"/>
    <n v="133.6"/>
    <n v="131.30000000000001"/>
    <n v="117.8"/>
    <n v="128.4"/>
    <n v="137.9"/>
    <n v="126.2"/>
    <n v="127.7"/>
    <n v="136.1"/>
    <n v="521.5"/>
    <n v="130.375"/>
  </r>
  <r>
    <s v="Rural"/>
    <x v="4"/>
    <x v="10"/>
    <n v="136.30000000000001"/>
    <n v="142.5"/>
    <n v="140.5"/>
    <n v="141.5"/>
    <n v="121.6"/>
    <n v="147.30000000000001"/>
    <n v="168"/>
    <n v="135.80000000000001"/>
    <n v="122.5"/>
    <n v="136"/>
    <n v="131.9"/>
    <n v="151.4"/>
    <n v="1685.8"/>
    <n v="142.4"/>
    <n v="152.1"/>
    <n v="545.79999999999995"/>
    <n v="148.19999999999999"/>
    <n v="141.5"/>
    <n v="437"/>
    <n v="147.30000000000001"/>
    <n v="128.6"/>
    <n v="268"/>
    <n v="141.1"/>
    <n v="139.4"/>
    <n v="135.80000000000001"/>
    <n v="121.6"/>
    <n v="133.69999999999999"/>
    <n v="141.5"/>
    <n v="128.1"/>
    <n v="131.69999999999999"/>
    <n v="140"/>
    <n v="543.6"/>
    <n v="135.9"/>
  </r>
  <r>
    <s v="Urban"/>
    <x v="4"/>
    <x v="10"/>
    <n v="134.30000000000001"/>
    <n v="142.1"/>
    <n v="146.69999999999999"/>
    <n v="139.5"/>
    <n v="115.2"/>
    <n v="136.4"/>
    <n v="185.2"/>
    <n v="122.2"/>
    <n v="123.9"/>
    <n v="138.30000000000001"/>
    <n v="125.4"/>
    <n v="146"/>
    <n v="1671.3000000000002"/>
    <n v="141.5"/>
    <n v="156.19999999999999"/>
    <n v="531.6"/>
    <n v="135"/>
    <n v="125.4"/>
    <n v="393.9"/>
    <n v="133.5"/>
    <n v="138.6"/>
    <n v="267.39999999999998"/>
    <n v="125.7"/>
    <n v="128.80000000000001"/>
    <n v="127.4"/>
    <n v="115.3"/>
    <n v="125.1"/>
    <n v="136.6"/>
    <n v="124.9"/>
    <n v="124.9"/>
    <n v="134.80000000000001"/>
    <n v="506.4"/>
    <n v="126.6"/>
  </r>
  <r>
    <s v="Rural+Urban"/>
    <x v="4"/>
    <x v="10"/>
    <n v="135.69999999999999"/>
    <n v="142.4"/>
    <n v="142.9"/>
    <n v="140.80000000000001"/>
    <n v="119.2"/>
    <n v="142.19999999999999"/>
    <n v="173.8"/>
    <n v="131.19999999999999"/>
    <n v="123"/>
    <n v="136.80000000000001"/>
    <n v="129.19999999999999"/>
    <n v="148.9"/>
    <n v="1679.0000000000002"/>
    <n v="142.1"/>
    <n v="153.19999999999999"/>
    <n v="538.09999999999991"/>
    <n v="143"/>
    <n v="134.80000000000001"/>
    <n v="419.6"/>
    <n v="141.80000000000001"/>
    <n v="138.6"/>
    <n v="273"/>
    <n v="135.30000000000001"/>
    <n v="134.4"/>
    <n v="132.6"/>
    <n v="118.3"/>
    <n v="128.9"/>
    <n v="138.6"/>
    <n v="126.8"/>
    <n v="128.4"/>
    <n v="137.6"/>
    <n v="526.6"/>
    <n v="131.64999999999998"/>
  </r>
  <r>
    <s v="Rural"/>
    <x v="4"/>
    <x v="11"/>
    <n v="136.4"/>
    <n v="143.69999999999999"/>
    <n v="144.80000000000001"/>
    <n v="141.9"/>
    <n v="123.1"/>
    <n v="147.19999999999999"/>
    <n v="161"/>
    <n v="133.80000000000001"/>
    <n v="121.9"/>
    <n v="135.80000000000001"/>
    <n v="131.1"/>
    <n v="151.4"/>
    <n v="1682.5000000000002"/>
    <n v="141.5"/>
    <n v="153.19999999999999"/>
    <n v="545.49999999999989"/>
    <n v="148"/>
    <n v="141.9"/>
    <n v="437.09999999999997"/>
    <n v="147.19999999999999"/>
    <n v="139.1"/>
    <n v="278.60000000000002"/>
    <n v="142.6"/>
    <n v="139.5"/>
    <n v="136.1"/>
    <n v="122"/>
    <n v="133.4"/>
    <n v="141.1"/>
    <n v="127.8"/>
    <n v="131.9"/>
    <n v="139.80000000000001"/>
    <n v="545.20000000000005"/>
    <n v="136.30000000000001"/>
  </r>
  <r>
    <s v="Urban"/>
    <x v="4"/>
    <x v="11"/>
    <n v="134.4"/>
    <n v="142.6"/>
    <n v="145.9"/>
    <n v="139.5"/>
    <n v="115.9"/>
    <n v="135"/>
    <n v="163.19999999999999"/>
    <n v="119.8"/>
    <n v="120.7"/>
    <n v="139.69999999999999"/>
    <n v="125.7"/>
    <n v="146.30000000000001"/>
    <n v="1641.8"/>
    <n v="138.80000000000001"/>
    <n v="157"/>
    <n v="532.9"/>
    <n v="135.6"/>
    <n v="125.6"/>
    <n v="395.2"/>
    <n v="134"/>
    <n v="139.1"/>
    <n v="268.39999999999998"/>
    <n v="126.8"/>
    <n v="129.30000000000001"/>
    <n v="128.19999999999999"/>
    <n v="115.3"/>
    <n v="125.6"/>
    <n v="136.69999999999999"/>
    <n v="124.6"/>
    <n v="125.1"/>
    <n v="134.1"/>
    <n v="508.1"/>
    <n v="127.02500000000001"/>
  </r>
  <r>
    <s v="Rural+Urban"/>
    <x v="4"/>
    <x v="11"/>
    <n v="135.80000000000001"/>
    <n v="143.30000000000001"/>
    <n v="145.19999999999999"/>
    <n v="141"/>
    <n v="120.5"/>
    <n v="141.5"/>
    <n v="161.69999999999999"/>
    <n v="129.1"/>
    <n v="121.5"/>
    <n v="137.1"/>
    <n v="128.80000000000001"/>
    <n v="149"/>
    <n v="1666.2"/>
    <n v="140.5"/>
    <n v="154.19999999999999"/>
    <n v="538.5"/>
    <n v="143.1"/>
    <n v="135.1"/>
    <n v="420.2"/>
    <n v="142"/>
    <n v="139.1"/>
    <n v="273.79999999999995"/>
    <n v="136.6"/>
    <n v="134.69999999999999"/>
    <n v="133.1"/>
    <n v="118.5"/>
    <n v="129"/>
    <n v="138.5"/>
    <n v="126.5"/>
    <n v="128.6"/>
    <n v="137.19999999999999"/>
    <n v="528.29999999999995"/>
    <n v="132.07499999999999"/>
  </r>
  <r>
    <s v="Rural"/>
    <x v="5"/>
    <x v="0"/>
    <n v="136.6"/>
    <n v="144.4"/>
    <n v="143.80000000000001"/>
    <n v="142"/>
    <n v="123.2"/>
    <n v="147.9"/>
    <n v="152.1"/>
    <n v="131.80000000000001"/>
    <n v="119.5"/>
    <n v="136"/>
    <n v="131.19999999999999"/>
    <n v="151.80000000000001"/>
    <n v="1669.5000000000002"/>
    <n v="140.4"/>
    <n v="153.6"/>
    <n v="547.69999999999993"/>
    <n v="148.30000000000001"/>
    <n v="142.30000000000001"/>
    <n v="438.1"/>
    <n v="147.5"/>
    <n v="140.4"/>
    <n v="280.20000000000005"/>
    <n v="142.30000000000001"/>
    <n v="139.80000000000001"/>
    <n v="136"/>
    <n v="122.7"/>
    <n v="134.30000000000001"/>
    <n v="141.6"/>
    <n v="128.6"/>
    <n v="132.30000000000001"/>
    <n v="139.30000000000001"/>
    <n v="546.40000000000009"/>
    <n v="136.60000000000002"/>
  </r>
  <r>
    <s v="Urban"/>
    <x v="5"/>
    <x v="0"/>
    <n v="134.6"/>
    <n v="143.69999999999999"/>
    <n v="143.6"/>
    <n v="139.6"/>
    <n v="116.4"/>
    <n v="133.80000000000001"/>
    <n v="150.5"/>
    <n v="118.4"/>
    <n v="117.3"/>
    <n v="140.5"/>
    <n v="125.9"/>
    <n v="146.80000000000001"/>
    <n v="1622.3999999999999"/>
    <n v="137.19999999999999"/>
    <n v="157.69999999999999"/>
    <n v="535.29999999999995"/>
    <n v="136"/>
    <n v="125.9"/>
    <n v="396.29999999999995"/>
    <n v="134.4"/>
    <n v="140.4"/>
    <n v="269.89999999999998"/>
    <n v="127.3"/>
    <n v="129.5"/>
    <n v="129"/>
    <n v="116.3"/>
    <n v="126.2"/>
    <n v="137.1"/>
    <n v="125.5"/>
    <n v="125.8"/>
    <n v="134.1"/>
    <n v="510.2"/>
    <n v="127.55"/>
  </r>
  <r>
    <s v="Rural+Urban"/>
    <x v="5"/>
    <x v="0"/>
    <n v="136"/>
    <n v="144.19999999999999"/>
    <n v="143.69999999999999"/>
    <n v="141.1"/>
    <n v="120.7"/>
    <n v="141.30000000000001"/>
    <n v="151.6"/>
    <n v="127.3"/>
    <n v="118.8"/>
    <n v="137.5"/>
    <n v="129"/>
    <n v="149.5"/>
    <n v="1650.9"/>
    <n v="139.19999999999999"/>
    <n v="154.69999999999999"/>
    <n v="540.69999999999993"/>
    <n v="143.5"/>
    <n v="135.5"/>
    <n v="421.3"/>
    <n v="142.30000000000001"/>
    <n v="140.4"/>
    <n v="275.3"/>
    <n v="136.6"/>
    <n v="134.9"/>
    <n v="133.30000000000001"/>
    <n v="119.3"/>
    <n v="129.69999999999999"/>
    <n v="139"/>
    <n v="127.3"/>
    <n v="129.1"/>
    <n v="136.9"/>
    <n v="529.79999999999995"/>
    <n v="132.45000000000002"/>
  </r>
  <r>
    <s v="Rural"/>
    <x v="5"/>
    <x v="1"/>
    <n v="136.4"/>
    <n v="143.69999999999999"/>
    <n v="140.6"/>
    <n v="141.5"/>
    <n v="122.9"/>
    <n v="149.4"/>
    <n v="142.4"/>
    <n v="130.19999999999999"/>
    <n v="117.9"/>
    <n v="135.6"/>
    <n v="130.5"/>
    <n v="151.69999999999999"/>
    <n v="1651"/>
    <n v="138.69999999999999"/>
    <n v="153.30000000000001"/>
    <n v="546.90000000000009"/>
    <n v="148.69999999999999"/>
    <n v="142.4"/>
    <n v="438.90000000000003"/>
    <n v="147.80000000000001"/>
    <n v="141.30000000000001"/>
    <n v="281.20000000000005"/>
    <n v="142.4"/>
    <n v="139.9"/>
    <n v="136.19999999999999"/>
    <n v="123.3"/>
    <n v="134.30000000000001"/>
    <n v="141.5"/>
    <n v="128.80000000000001"/>
    <n v="132.5"/>
    <n v="138.5"/>
    <n v="547.1"/>
    <n v="136.77500000000001"/>
  </r>
  <r>
    <s v="Urban"/>
    <x v="5"/>
    <x v="1"/>
    <n v="134.80000000000001"/>
    <n v="143"/>
    <n v="139.9"/>
    <n v="139.9"/>
    <n v="116.2"/>
    <n v="135.5"/>
    <n v="136.9"/>
    <n v="117"/>
    <n v="115.4"/>
    <n v="140.69999999999999"/>
    <n v="125.9"/>
    <n v="147.1"/>
    <n v="1602"/>
    <n v="135.6"/>
    <n v="159.30000000000001"/>
    <n v="537.90000000000009"/>
    <n v="136.30000000000001"/>
    <n v="126.1"/>
    <n v="397.09999999999997"/>
    <n v="134.69999999999999"/>
    <n v="141.30000000000001"/>
    <n v="271.20000000000005"/>
    <n v="127.3"/>
    <n v="129.9"/>
    <n v="129.80000000000001"/>
    <n v="117.4"/>
    <n v="126.5"/>
    <n v="137.19999999999999"/>
    <n v="126.2"/>
    <n v="126.5"/>
    <n v="134"/>
    <n v="511.79999999999995"/>
    <n v="127.95"/>
  </r>
  <r>
    <s v="Rural+Urban"/>
    <x v="5"/>
    <x v="1"/>
    <n v="135.9"/>
    <n v="143.5"/>
    <n v="140.30000000000001"/>
    <n v="140.9"/>
    <n v="120.4"/>
    <n v="142.9"/>
    <n v="140.5"/>
    <n v="125.8"/>
    <n v="117.1"/>
    <n v="137.30000000000001"/>
    <n v="128.6"/>
    <n v="149.6"/>
    <n v="1631.8"/>
    <n v="137.6"/>
    <n v="154.9"/>
    <n v="541.1"/>
    <n v="143.80000000000001"/>
    <n v="135.6"/>
    <n v="422"/>
    <n v="142.6"/>
    <n v="141.30000000000001"/>
    <n v="276.5"/>
    <n v="136.69999999999999"/>
    <n v="135.19999999999999"/>
    <n v="133.80000000000001"/>
    <n v="120.2"/>
    <n v="129.9"/>
    <n v="139"/>
    <n v="127.7"/>
    <n v="129.6"/>
    <n v="136.4"/>
    <n v="531.09999999999991"/>
    <n v="132.77499999999998"/>
  </r>
  <r>
    <s v="Rural"/>
    <x v="5"/>
    <x v="2"/>
    <n v="136.80000000000001"/>
    <n v="143.80000000000001"/>
    <n v="140"/>
    <n v="142"/>
    <n v="123.2"/>
    <n v="152.9"/>
    <n v="138"/>
    <n v="129.30000000000001"/>
    <n v="117.1"/>
    <n v="136.30000000000001"/>
    <n v="131.19999999999999"/>
    <n v="152.80000000000001"/>
    <n v="1650.7999999999997"/>
    <n v="138.6"/>
    <n v="155.1"/>
    <n v="550.70000000000005"/>
    <n v="149.19999999999999"/>
    <n v="143"/>
    <n v="440.5"/>
    <n v="148.30000000000001"/>
    <n v="142"/>
    <n v="281.89999999999998"/>
    <n v="142.6"/>
    <n v="139.9"/>
    <n v="136.69999999999999"/>
    <n v="124.6"/>
    <n v="135.1"/>
    <n v="142.69999999999999"/>
    <n v="129.30000000000001"/>
    <n v="133.30000000000001"/>
    <n v="138.69999999999999"/>
    <n v="549.79999999999995"/>
    <n v="137.44999999999999"/>
  </r>
  <r>
    <s v="Urban"/>
    <x v="5"/>
    <x v="2"/>
    <n v="135"/>
    <n v="143.1"/>
    <n v="135.5"/>
    <n v="139.9"/>
    <n v="116.5"/>
    <n v="138.5"/>
    <n v="128"/>
    <n v="115.5"/>
    <n v="114.2"/>
    <n v="140.69999999999999"/>
    <n v="126.2"/>
    <n v="147.6"/>
    <n v="1589.3"/>
    <n v="134.80000000000001"/>
    <n v="159.69999999999999"/>
    <n v="539.4"/>
    <n v="136.69999999999999"/>
    <n v="126.7"/>
    <n v="398.59999999999997"/>
    <n v="135.19999999999999"/>
    <n v="142"/>
    <n v="272.8"/>
    <n v="126.4"/>
    <n v="130.80000000000001"/>
    <n v="130.5"/>
    <n v="117.8"/>
    <n v="126.8"/>
    <n v="137.80000000000001"/>
    <n v="126.7"/>
    <n v="127.1"/>
    <n v="134"/>
    <n v="512.79999999999995"/>
    <n v="128.20000000000002"/>
  </r>
  <r>
    <s v="Rural+Urban"/>
    <x v="5"/>
    <x v="2"/>
    <n v="136.19999999999999"/>
    <n v="143.6"/>
    <n v="138.30000000000001"/>
    <n v="141.19999999999999"/>
    <n v="120.7"/>
    <n v="146.19999999999999"/>
    <n v="134.6"/>
    <n v="124.6"/>
    <n v="116.1"/>
    <n v="137.80000000000001"/>
    <n v="129.1"/>
    <n v="150.4"/>
    <n v="1626.9"/>
    <n v="137.19999999999999"/>
    <n v="156.30000000000001"/>
    <n v="544"/>
    <n v="144.30000000000001"/>
    <n v="136.19999999999999"/>
    <n v="423.6"/>
    <n v="143.1"/>
    <n v="142"/>
    <n v="277.60000000000002"/>
    <n v="136.5"/>
    <n v="135.6"/>
    <n v="134.30000000000001"/>
    <n v="121"/>
    <n v="130.4"/>
    <n v="139.80000000000001"/>
    <n v="128.19999999999999"/>
    <n v="130.30000000000001"/>
    <n v="136.5"/>
    <n v="532.9"/>
    <n v="133.22499999999999"/>
  </r>
  <r>
    <s v="Rural"/>
    <x v="5"/>
    <x v="3"/>
    <n v="137.1"/>
    <n v="144.5"/>
    <n v="135.9"/>
    <n v="142.4"/>
    <n v="123.5"/>
    <n v="156.4"/>
    <n v="135.1"/>
    <n v="128.4"/>
    <n v="115.2"/>
    <n v="137.19999999999999"/>
    <n v="131.9"/>
    <n v="153.80000000000001"/>
    <n v="1648.1"/>
    <n v="138.6"/>
    <n v="156.1"/>
    <n v="554.4"/>
    <n v="150.1"/>
    <n v="143.30000000000001"/>
    <n v="442.5"/>
    <n v="149.1"/>
    <n v="142.9"/>
    <n v="283.8"/>
    <n v="143.80000000000001"/>
    <n v="140.9"/>
    <n v="137.6"/>
    <n v="125.3"/>
    <n v="136"/>
    <n v="143.69999999999999"/>
    <n v="130.4"/>
    <n v="134.19999999999999"/>
    <n v="139.1"/>
    <n v="553.70000000000005"/>
    <n v="138.42500000000001"/>
  </r>
  <r>
    <s v="Urban"/>
    <x v="5"/>
    <x v="3"/>
    <n v="135"/>
    <n v="144.30000000000001"/>
    <n v="130.80000000000001"/>
    <n v="140.30000000000001"/>
    <n v="116.6"/>
    <n v="150.1"/>
    <n v="127.6"/>
    <n v="114"/>
    <n v="110.6"/>
    <n v="140.19999999999999"/>
    <n v="126.5"/>
    <n v="148.30000000000001"/>
    <n v="1593.5"/>
    <n v="135.69999999999999"/>
    <n v="159.19999999999999"/>
    <n v="540.9"/>
    <n v="137.80000000000001"/>
    <n v="127.4"/>
    <n v="401.40000000000003"/>
    <n v="136.19999999999999"/>
    <n v="142.9"/>
    <n v="274.70000000000005"/>
    <n v="124.6"/>
    <n v="131.80000000000001"/>
    <n v="131.30000000000001"/>
    <n v="118.9"/>
    <n v="127.6"/>
    <n v="139.69999999999999"/>
    <n v="127.6"/>
    <n v="128.19999999999999"/>
    <n v="134.80000000000001"/>
    <n v="515"/>
    <n v="128.75"/>
  </r>
  <r>
    <s v="Rural+Urban"/>
    <x v="5"/>
    <x v="3"/>
    <n v="136.4"/>
    <n v="144.4"/>
    <n v="133.9"/>
    <n v="141.6"/>
    <n v="121"/>
    <n v="153.5"/>
    <n v="132.6"/>
    <n v="123.5"/>
    <n v="113.7"/>
    <n v="138.19999999999999"/>
    <n v="129.6"/>
    <n v="151.19999999999999"/>
    <n v="1627.5000000000002"/>
    <n v="137.5"/>
    <n v="156.9"/>
    <n v="547"/>
    <n v="145.30000000000001"/>
    <n v="136.69999999999999"/>
    <n v="426"/>
    <n v="144"/>
    <n v="142.9"/>
    <n v="279.5"/>
    <n v="136.5"/>
    <n v="136.6"/>
    <n v="135.19999999999999"/>
    <n v="121.9"/>
    <n v="131.30000000000001"/>
    <n v="141.4"/>
    <n v="129.19999999999999"/>
    <n v="131.30000000000001"/>
    <n v="137.1"/>
    <n v="536.4"/>
    <n v="134.1"/>
  </r>
  <r>
    <s v="Rural"/>
    <x v="5"/>
    <x v="4"/>
    <n v="137.4"/>
    <n v="145.69999999999999"/>
    <n v="135.5"/>
    <n v="142.9"/>
    <n v="123.6"/>
    <n v="157.5"/>
    <n v="137.80000000000001"/>
    <n v="127.2"/>
    <n v="111.8"/>
    <n v="137.4"/>
    <n v="132.19999999999999"/>
    <n v="154.30000000000001"/>
    <n v="1650.2"/>
    <n v="139.1"/>
    <n v="157"/>
    <n v="557.20000000000005"/>
    <n v="150.80000000000001"/>
    <n v="144.1"/>
    <n v="444.7"/>
    <n v="149.80000000000001"/>
    <n v="143.19999999999999"/>
    <n v="285"/>
    <n v="144.30000000000001"/>
    <n v="141.80000000000001"/>
    <n v="138.4"/>
    <n v="126.4"/>
    <n v="136.80000000000001"/>
    <n v="144.4"/>
    <n v="131.19999999999999"/>
    <n v="135.1"/>
    <n v="139.80000000000001"/>
    <n v="556.90000000000009"/>
    <n v="139.22500000000002"/>
  </r>
  <r>
    <s v="Urban"/>
    <x v="5"/>
    <x v="4"/>
    <n v="135"/>
    <n v="148.19999999999999"/>
    <n v="130.5"/>
    <n v="140.69999999999999"/>
    <n v="116.4"/>
    <n v="151.30000000000001"/>
    <n v="131.4"/>
    <n v="112.8"/>
    <n v="105.3"/>
    <n v="139.6"/>
    <n v="126.6"/>
    <n v="148.69999999999999"/>
    <n v="1596.3"/>
    <n v="136.4"/>
    <n v="160.30000000000001"/>
    <n v="543"/>
    <n v="138.6"/>
    <n v="127.9"/>
    <n v="403.5"/>
    <n v="137"/>
    <n v="143.19999999999999"/>
    <n v="275.7"/>
    <n v="124.7"/>
    <n v="132.5"/>
    <n v="132"/>
    <n v="119.8"/>
    <n v="128"/>
    <n v="140.4"/>
    <n v="128.1"/>
    <n v="128.9"/>
    <n v="135.4"/>
    <n v="517.4"/>
    <n v="129.35"/>
  </r>
  <r>
    <s v="Rural+Urban"/>
    <x v="5"/>
    <x v="4"/>
    <n v="136.6"/>
    <n v="146.6"/>
    <n v="133.6"/>
    <n v="142.1"/>
    <n v="121"/>
    <n v="154.6"/>
    <n v="135.6"/>
    <n v="122.3"/>
    <n v="109.6"/>
    <n v="138.1"/>
    <n v="129.9"/>
    <n v="151.69999999999999"/>
    <n v="1629.8999999999996"/>
    <n v="138.1"/>
    <n v="157.9"/>
    <n v="549.5"/>
    <n v="146"/>
    <n v="137.4"/>
    <n v="428.09999999999997"/>
    <n v="144.69999999999999"/>
    <n v="143.19999999999999"/>
    <n v="280.60000000000002"/>
    <n v="136.9"/>
    <n v="137.4"/>
    <n v="136"/>
    <n v="122.9"/>
    <n v="131.80000000000001"/>
    <n v="142.1"/>
    <n v="129.9"/>
    <n v="132.1"/>
    <n v="137.80000000000001"/>
    <n v="539.29999999999995"/>
    <n v="134.82499999999999"/>
  </r>
  <r>
    <s v="Rural"/>
    <x v="5"/>
    <x v="5"/>
    <n v="137.6"/>
    <n v="148.1"/>
    <n v="136.69999999999999"/>
    <n v="143.19999999999999"/>
    <n v="124"/>
    <n v="154.1"/>
    <n v="143.5"/>
    <n v="126"/>
    <n v="112.4"/>
    <n v="137.6"/>
    <n v="132.80000000000001"/>
    <n v="154.30000000000001"/>
    <n v="1657.4999999999998"/>
    <n v="140"/>
    <n v="157.30000000000001"/>
    <n v="559.30000000000007"/>
    <n v="151.30000000000001"/>
    <n v="144.69999999999999"/>
    <n v="446.3"/>
    <n v="150.30000000000001"/>
    <n v="142.5"/>
    <n v="284.7"/>
    <n v="145.1"/>
    <n v="142.19999999999999"/>
    <n v="138.4"/>
    <n v="127.4"/>
    <n v="137.80000000000001"/>
    <n v="145.1"/>
    <n v="131.4"/>
    <n v="135.6"/>
    <n v="140.5"/>
    <n v="559.79999999999995"/>
    <n v="139.94999999999999"/>
  </r>
  <r>
    <s v="Urban"/>
    <x v="5"/>
    <x v="5"/>
    <n v="135.30000000000001"/>
    <n v="149.69999999999999"/>
    <n v="133.9"/>
    <n v="140.80000000000001"/>
    <n v="116.6"/>
    <n v="152.19999999999999"/>
    <n v="144"/>
    <n v="112.3"/>
    <n v="108.4"/>
    <n v="140"/>
    <n v="126.7"/>
    <n v="149"/>
    <n v="1620.6000000000004"/>
    <n v="138.4"/>
    <n v="161"/>
    <n v="544.4"/>
    <n v="138.9"/>
    <n v="128.69999999999999"/>
    <n v="405"/>
    <n v="137.4"/>
    <n v="142.5"/>
    <n v="275.60000000000002"/>
    <n v="126.5"/>
    <n v="133.1"/>
    <n v="132.6"/>
    <n v="120.4"/>
    <n v="128.5"/>
    <n v="141.19999999999999"/>
    <n v="128.19999999999999"/>
    <n v="129.5"/>
    <n v="136.19999999999999"/>
    <n v="521.20000000000005"/>
    <n v="130.30000000000001"/>
  </r>
  <r>
    <s v="Rural+Urban"/>
    <x v="5"/>
    <x v="5"/>
    <n v="136.9"/>
    <n v="148.69999999999999"/>
    <n v="135.6"/>
    <n v="142.30000000000001"/>
    <n v="121.3"/>
    <n v="153.19999999999999"/>
    <n v="143.69999999999999"/>
    <n v="121.4"/>
    <n v="111.1"/>
    <n v="138.4"/>
    <n v="130.30000000000001"/>
    <n v="151.80000000000001"/>
    <n v="1643.8000000000002"/>
    <n v="139.4"/>
    <n v="158.30000000000001"/>
    <n v="551.30000000000007"/>
    <n v="146.4"/>
    <n v="138.1"/>
    <n v="429.7"/>
    <n v="145.19999999999999"/>
    <n v="142.5"/>
    <n v="280.39999999999998"/>
    <n v="138.1"/>
    <n v="137.9"/>
    <n v="136.19999999999999"/>
    <n v="123.7"/>
    <n v="132.6"/>
    <n v="142.80000000000001"/>
    <n v="130.1"/>
    <n v="132.6"/>
    <n v="138.5"/>
    <n v="542.5"/>
    <n v="135.625"/>
  </r>
  <r>
    <s v="Rural"/>
    <x v="5"/>
    <x v="6"/>
    <n v="138.4"/>
    <n v="149.30000000000001"/>
    <n v="139.30000000000001"/>
    <n v="143.4"/>
    <n v="124.1"/>
    <n v="153.30000000000001"/>
    <n v="154.19999999999999"/>
    <n v="126.4"/>
    <n v="114.3"/>
    <n v="138.19999999999999"/>
    <n v="132.80000000000001"/>
    <n v="154.80000000000001"/>
    <n v="1677.7"/>
    <n v="142"/>
    <n v="156.1"/>
    <n v="558.69999999999993"/>
    <n v="151.5"/>
    <n v="145.1"/>
    <n v="447.20000000000005"/>
    <n v="150.6"/>
    <n v="143.6"/>
    <n v="286.7"/>
    <n v="146.80000000000001"/>
    <n v="143.1"/>
    <n v="139"/>
    <n v="127.5"/>
    <n v="138.4"/>
    <n v="145.80000000000001"/>
    <n v="131.4"/>
    <n v="136"/>
    <n v="141.80000000000001"/>
    <n v="563.20000000000005"/>
    <n v="140.80000000000001"/>
  </r>
  <r>
    <s v="Urban"/>
    <x v="5"/>
    <x v="6"/>
    <n v="135.6"/>
    <n v="148.6"/>
    <n v="139.1"/>
    <n v="141"/>
    <n v="116.7"/>
    <n v="149.69999999999999"/>
    <n v="159.19999999999999"/>
    <n v="112.6"/>
    <n v="111.8"/>
    <n v="140.30000000000001"/>
    <n v="126.8"/>
    <n v="149.4"/>
    <n v="1644.2999999999997"/>
    <n v="140.30000000000001"/>
    <n v="161.4"/>
    <n v="545.4"/>
    <n v="139.6"/>
    <n v="128.9"/>
    <n v="406.4"/>
    <n v="137.9"/>
    <n v="143.6"/>
    <n v="277.2"/>
    <n v="128.1"/>
    <n v="133.6"/>
    <n v="133.6"/>
    <n v="120.1"/>
    <n v="129"/>
    <n v="144"/>
    <n v="128.19999999999999"/>
    <n v="130.19999999999999"/>
    <n v="137.5"/>
    <n v="525.80000000000007"/>
    <n v="131.45000000000002"/>
  </r>
  <r>
    <s v="Rural+Urban"/>
    <x v="5"/>
    <x v="6"/>
    <n v="137.5"/>
    <n v="149.1"/>
    <n v="139.19999999999999"/>
    <n v="142.5"/>
    <n v="121.4"/>
    <n v="151.6"/>
    <n v="155.9"/>
    <n v="121.7"/>
    <n v="113.5"/>
    <n v="138.9"/>
    <n v="130.30000000000001"/>
    <n v="152.30000000000001"/>
    <n v="1665.0000000000002"/>
    <n v="141.4"/>
    <n v="157.5"/>
    <n v="551"/>
    <n v="146.80000000000001"/>
    <n v="138.4"/>
    <n v="430.80000000000007"/>
    <n v="145.6"/>
    <n v="143.6"/>
    <n v="282.2"/>
    <n v="139.69999999999999"/>
    <n v="138.6"/>
    <n v="137"/>
    <n v="123.6"/>
    <n v="133.1"/>
    <n v="144.69999999999999"/>
    <n v="130.1"/>
    <n v="133.19999999999999"/>
    <n v="139.80000000000001"/>
    <n v="546.59999999999991"/>
    <n v="136.64999999999998"/>
  </r>
  <r>
    <s v="Rural"/>
    <x v="5"/>
    <x v="7"/>
    <n v="139.19999999999999"/>
    <n v="148.80000000000001"/>
    <n v="139.1"/>
    <n v="143.5"/>
    <n v="125"/>
    <n v="154.4"/>
    <n v="156.30000000000001"/>
    <n v="126.8"/>
    <n v="115.4"/>
    <n v="138.6"/>
    <n v="133.80000000000001"/>
    <n v="155.19999999999999"/>
    <n v="1684.9999999999998"/>
    <n v="142.69999999999999"/>
    <n v="156.4"/>
    <n v="560.10000000000014"/>
    <n v="152.1"/>
    <n v="145.80000000000001"/>
    <n v="449.2"/>
    <n v="151.30000000000001"/>
    <n v="144.6"/>
    <n v="288.39999999999998"/>
    <n v="147.69999999999999"/>
    <n v="143.80000000000001"/>
    <n v="139.4"/>
    <n v="128.30000000000001"/>
    <n v="138.6"/>
    <n v="146.9"/>
    <n v="131.30000000000001"/>
    <n v="136.6"/>
    <n v="142.5"/>
    <n v="566.70000000000005"/>
    <n v="141.67500000000001"/>
  </r>
  <r>
    <s v="Urban"/>
    <x v="5"/>
    <x v="7"/>
    <n v="136.5"/>
    <n v="146.4"/>
    <n v="136.6"/>
    <n v="141.19999999999999"/>
    <n v="117.4"/>
    <n v="146.30000000000001"/>
    <n v="157.30000000000001"/>
    <n v="113.6"/>
    <n v="113.3"/>
    <n v="141.1"/>
    <n v="127.4"/>
    <n v="150.4"/>
    <n v="1640.1999999999998"/>
    <n v="140.1"/>
    <n v="162.1"/>
    <n v="547.6"/>
    <n v="140"/>
    <n v="129"/>
    <n v="407.3"/>
    <n v="138.30000000000001"/>
    <n v="144.6"/>
    <n v="279"/>
    <n v="129.80000000000001"/>
    <n v="134.4"/>
    <n v="134.9"/>
    <n v="120.7"/>
    <n v="129.80000000000001"/>
    <n v="145.30000000000001"/>
    <n v="128.30000000000001"/>
    <n v="131"/>
    <n v="138"/>
    <n v="530.20000000000005"/>
    <n v="132.55000000000001"/>
  </r>
  <r>
    <s v="Rural+Urban"/>
    <x v="5"/>
    <x v="7"/>
    <n v="138.30000000000001"/>
    <n v="148"/>
    <n v="138.1"/>
    <n v="142.6"/>
    <n v="122.2"/>
    <n v="150.6"/>
    <n v="156.6"/>
    <n v="122.4"/>
    <n v="114.7"/>
    <n v="139.4"/>
    <n v="131.1"/>
    <n v="153"/>
    <n v="1667.6"/>
    <n v="141.69999999999999"/>
    <n v="157.9"/>
    <n v="552.70000000000005"/>
    <n v="147.30000000000001"/>
    <n v="138.80000000000001"/>
    <n v="432.20000000000005"/>
    <n v="146.1"/>
    <n v="144.6"/>
    <n v="284"/>
    <n v="140.9"/>
    <n v="139.4"/>
    <n v="137.69999999999999"/>
    <n v="124.3"/>
    <n v="133.6"/>
    <n v="146"/>
    <n v="130.1"/>
    <n v="133.9"/>
    <n v="140.4"/>
    <n v="550.6"/>
    <n v="137.65"/>
  </r>
  <r>
    <s v="Rural"/>
    <x v="5"/>
    <x v="8"/>
    <n v="139.4"/>
    <n v="147.19999999999999"/>
    <n v="136.6"/>
    <n v="143.69999999999999"/>
    <n v="124.6"/>
    <n v="150.1"/>
    <n v="149.4"/>
    <n v="125.4"/>
    <n v="114.4"/>
    <n v="138.69999999999999"/>
    <n v="133.1"/>
    <n v="155.9"/>
    <n v="1666.7"/>
    <n v="141.30000000000001"/>
    <n v="157.69999999999999"/>
    <n v="562.79999999999995"/>
    <n v="152.1"/>
    <n v="146.1"/>
    <n v="449.5"/>
    <n v="151.30000000000001"/>
    <n v="145.30000000000001"/>
    <n v="289.3"/>
    <n v="149"/>
    <n v="144"/>
    <n v="140"/>
    <n v="129.9"/>
    <n v="140"/>
    <n v="147.6"/>
    <n v="132"/>
    <n v="137.4"/>
    <n v="142.1"/>
    <n v="570.5"/>
    <n v="142.625"/>
  </r>
  <r>
    <s v="Urban"/>
    <x v="5"/>
    <x v="8"/>
    <n v="137"/>
    <n v="143.1"/>
    <n v="132.80000000000001"/>
    <n v="141.5"/>
    <n v="117.8"/>
    <n v="140"/>
    <n v="151.30000000000001"/>
    <n v="113.5"/>
    <n v="112.3"/>
    <n v="141.19999999999999"/>
    <n v="127.7"/>
    <n v="151.30000000000001"/>
    <n v="1620.6999999999998"/>
    <n v="138.9"/>
    <n v="163.30000000000001"/>
    <n v="550.5"/>
    <n v="140.80000000000001"/>
    <n v="129.30000000000001"/>
    <n v="409.20000000000005"/>
    <n v="139.1"/>
    <n v="145.30000000000001"/>
    <n v="280.20000000000005"/>
    <n v="131.19999999999999"/>
    <n v="134.9"/>
    <n v="135.69999999999999"/>
    <n v="122.5"/>
    <n v="130.19999999999999"/>
    <n v="145.19999999999999"/>
    <n v="129.30000000000001"/>
    <n v="131.9"/>
    <n v="138.1"/>
    <n v="533.79999999999995"/>
    <n v="133.44999999999999"/>
  </r>
  <r>
    <s v="Rural+Urban"/>
    <x v="5"/>
    <x v="8"/>
    <n v="138.6"/>
    <n v="145.80000000000001"/>
    <n v="135.1"/>
    <n v="142.9"/>
    <n v="122.1"/>
    <n v="145.4"/>
    <n v="150"/>
    <n v="121.4"/>
    <n v="113.7"/>
    <n v="139.5"/>
    <n v="130.80000000000001"/>
    <n v="153.80000000000001"/>
    <n v="1648.6999999999998"/>
    <n v="140.4"/>
    <n v="159.19999999999999"/>
    <n v="555.4"/>
    <n v="147.69999999999999"/>
    <n v="139.1"/>
    <n v="433.29999999999995"/>
    <n v="146.5"/>
    <n v="145.30000000000001"/>
    <n v="285"/>
    <n v="142.30000000000001"/>
    <n v="139.69999999999999"/>
    <n v="138.4"/>
    <n v="126"/>
    <n v="134.5"/>
    <n v="146.19999999999999"/>
    <n v="130.9"/>
    <n v="134.69999999999999"/>
    <n v="140.19999999999999"/>
    <n v="554.20000000000005"/>
    <n v="138.55000000000001"/>
  </r>
  <r>
    <s v="Rural"/>
    <x v="5"/>
    <x v="9"/>
    <n v="139.30000000000001"/>
    <n v="147.6"/>
    <n v="134.6"/>
    <n v="141.9"/>
    <n v="123.5"/>
    <n v="144.5"/>
    <n v="147.6"/>
    <n v="121.4"/>
    <n v="112.3"/>
    <n v="139.5"/>
    <n v="134.6"/>
    <n v="155.19999999999999"/>
    <n v="1647.6"/>
    <n v="140.19999999999999"/>
    <n v="159.6"/>
    <n v="568.69999999999993"/>
    <n v="150.69999999999999"/>
    <n v="144.5"/>
    <n v="445"/>
    <n v="149.80000000000001"/>
    <n v="146.6"/>
    <n v="294.10000000000002"/>
    <n v="149.69999999999999"/>
    <n v="147.5"/>
    <n v="144.80000000000001"/>
    <n v="130.80000000000001"/>
    <n v="140.1"/>
    <n v="148"/>
    <n v="134.4"/>
    <n v="139.80000000000001"/>
    <n v="142.19999999999999"/>
    <n v="576"/>
    <n v="144"/>
  </r>
  <r>
    <s v="Urban"/>
    <x v="5"/>
    <x v="9"/>
    <n v="137.6"/>
    <n v="144.9"/>
    <n v="133.5"/>
    <n v="141.5"/>
    <n v="118"/>
    <n v="139.5"/>
    <n v="153"/>
    <n v="113.2"/>
    <n v="112.8"/>
    <n v="141.1"/>
    <n v="127.6"/>
    <n v="152"/>
    <n v="1626.5"/>
    <n v="139.4"/>
    <n v="164"/>
    <n v="552.70000000000005"/>
    <n v="141.5"/>
    <n v="129.80000000000001"/>
    <n v="411"/>
    <n v="139.69999999999999"/>
    <n v="146.30000000000001"/>
    <n v="281.39999999999998"/>
    <n v="133.4"/>
    <n v="135.1"/>
    <n v="136.19999999999999"/>
    <n v="123.3"/>
    <n v="130.69999999999999"/>
    <n v="145.5"/>
    <n v="130.4"/>
    <n v="132.5"/>
    <n v="138.9"/>
    <n v="537.30000000000007"/>
    <n v="134.32499999999999"/>
  </r>
  <r>
    <s v="Rural+Urban"/>
    <x v="5"/>
    <x v="9"/>
    <n v="137.4"/>
    <n v="149.5"/>
    <n v="137.30000000000001"/>
    <n v="141.9"/>
    <n v="121.1"/>
    <n v="142.5"/>
    <n v="146.69999999999999"/>
    <n v="119.1"/>
    <n v="111.9"/>
    <n v="141"/>
    <n v="133.6"/>
    <n v="154.5"/>
    <n v="1642.6000000000001"/>
    <n v="139.69999999999999"/>
    <n v="162.6"/>
    <n v="564.70000000000005"/>
    <n v="148"/>
    <n v="139.19999999999999"/>
    <n v="434"/>
    <n v="146.80000000000001"/>
    <n v="146.9"/>
    <n v="289.10000000000002"/>
    <n v="145.30000000000001"/>
    <n v="142.19999999999999"/>
    <n v="142.1"/>
    <n v="125.5"/>
    <n v="136.5"/>
    <n v="147.80000000000001"/>
    <n v="132"/>
    <n v="136.30000000000001"/>
    <n v="140.80000000000001"/>
    <n v="560.79999999999995"/>
    <n v="140.19999999999999"/>
  </r>
  <r>
    <s v="Rural"/>
    <x v="5"/>
    <x v="10"/>
    <n v="137.1"/>
    <n v="150.80000000000001"/>
    <n v="136.69999999999999"/>
    <n v="141.9"/>
    <n v="122.8"/>
    <n v="143.9"/>
    <n v="147.5"/>
    <n v="121"/>
    <n v="111.6"/>
    <n v="140.6"/>
    <n v="137.5"/>
    <n v="156.1"/>
    <n v="1649.9999999999998"/>
    <n v="140"/>
    <n v="161.9"/>
    <n v="575.6"/>
    <n v="151.69999999999999"/>
    <n v="145.5"/>
    <n v="448"/>
    <n v="150.80000000000001"/>
    <n v="146.9"/>
    <n v="294.89999999999998"/>
    <n v="150.30000000000001"/>
    <n v="148"/>
    <n v="145.4"/>
    <n v="130.30000000000001"/>
    <n v="143.1"/>
    <n v="150.19999999999999"/>
    <n v="133.1"/>
    <n v="140.1"/>
    <n v="142.4"/>
    <n v="578.79999999999995"/>
    <n v="144.69999999999999"/>
  </r>
  <r>
    <s v="Urban"/>
    <x v="5"/>
    <x v="10"/>
    <n v="138.1"/>
    <n v="146.30000000000001"/>
    <n v="137.80000000000001"/>
    <n v="141.6"/>
    <n v="118.1"/>
    <n v="141.5"/>
    <n v="145.19999999999999"/>
    <n v="115.3"/>
    <n v="112.5"/>
    <n v="141.4"/>
    <n v="128"/>
    <n v="152.6"/>
    <n v="1629.4999999999998"/>
    <n v="139.1"/>
    <n v="164.4"/>
    <n v="554.20000000000005"/>
    <n v="142.4"/>
    <n v="130.19999999999999"/>
    <n v="413.1"/>
    <n v="140.5"/>
    <n v="146.9"/>
    <n v="282.70000000000005"/>
    <n v="136.69999999999999"/>
    <n v="135.80000000000001"/>
    <n v="136.80000000000001"/>
    <n v="121.2"/>
    <n v="131.30000000000001"/>
    <n v="146.1"/>
    <n v="130.5"/>
    <n v="132.19999999999999"/>
    <n v="139"/>
    <n v="539.79999999999995"/>
    <n v="134.94999999999999"/>
  </r>
  <r>
    <s v="Rural+Urban"/>
    <x v="5"/>
    <x v="10"/>
    <n v="137.4"/>
    <n v="149.19999999999999"/>
    <n v="137.1"/>
    <n v="141.80000000000001"/>
    <n v="121.1"/>
    <n v="142.80000000000001"/>
    <n v="146.69999999999999"/>
    <n v="119.1"/>
    <n v="111.9"/>
    <n v="140.9"/>
    <n v="133.5"/>
    <n v="154.5"/>
    <n v="1642.2"/>
    <n v="139.69999999999999"/>
    <n v="162.6"/>
    <n v="564.6"/>
    <n v="148"/>
    <n v="139.1"/>
    <n v="433.8"/>
    <n v="146.69999999999999"/>
    <n v="146.9"/>
    <n v="289.10000000000002"/>
    <n v="145.1"/>
    <n v="142.19999999999999"/>
    <n v="142.1"/>
    <n v="125.5"/>
    <n v="136.5"/>
    <n v="147.80000000000001"/>
    <n v="132"/>
    <n v="136.30000000000001"/>
    <n v="140.80000000000001"/>
    <n v="560.59999999999991"/>
    <n v="140.15"/>
  </r>
  <r>
    <s v="Rural"/>
    <x v="5"/>
    <x v="11"/>
    <n v="137.1"/>
    <n v="151.9"/>
    <n v="137.4"/>
    <n v="142.4"/>
    <n v="124.2"/>
    <n v="140.19999999999999"/>
    <n v="136.6"/>
    <n v="120.9"/>
    <n v="109.9"/>
    <n v="140.19999999999999"/>
    <n v="137.80000000000001"/>
    <n v="156"/>
    <n v="1635.3000000000002"/>
    <n v="138.5"/>
    <n v="162.4"/>
    <n v="576.70000000000005"/>
    <n v="151.6"/>
    <n v="145.9"/>
    <n v="448.3"/>
    <n v="150.80000000000001"/>
    <n v="146.5"/>
    <n v="296"/>
    <n v="149"/>
    <n v="149.5"/>
    <n v="149.6"/>
    <n v="128.9"/>
    <n v="143.30000000000001"/>
    <n v="155.1"/>
    <n v="133.19999999999999"/>
    <n v="141.6"/>
    <n v="141.9"/>
    <n v="582.5"/>
    <n v="145.625"/>
  </r>
  <r>
    <s v="Urban"/>
    <x v="5"/>
    <x v="11"/>
    <n v="138.5"/>
    <n v="147.80000000000001"/>
    <n v="141.1"/>
    <n v="141.6"/>
    <n v="118.1"/>
    <n v="138.5"/>
    <n v="132.4"/>
    <n v="117.5"/>
    <n v="111"/>
    <n v="141.5"/>
    <n v="128.1"/>
    <n v="152.9"/>
    <n v="1618.4999999999998"/>
    <n v="137.6"/>
    <n v="164.6"/>
    <n v="555.20000000000005"/>
    <n v="142.69999999999999"/>
    <n v="130.30000000000001"/>
    <n v="413.8"/>
    <n v="140.80000000000001"/>
    <n v="146.5"/>
    <n v="282.7"/>
    <n v="132.4"/>
    <n v="136.19999999999999"/>
    <n v="137.30000000000001"/>
    <n v="118.8"/>
    <n v="131.69999999999999"/>
    <n v="146.5"/>
    <n v="130.80000000000001"/>
    <n v="131.69999999999999"/>
    <n v="138"/>
    <n v="533.90000000000009"/>
    <n v="133.47499999999999"/>
  </r>
  <r>
    <s v="Rural+Urban"/>
    <x v="5"/>
    <x v="11"/>
    <n v="137.5"/>
    <n v="150.5"/>
    <n v="138.80000000000001"/>
    <n v="142.1"/>
    <n v="122"/>
    <n v="139.4"/>
    <n v="135.19999999999999"/>
    <n v="119.8"/>
    <n v="110.3"/>
    <n v="140.6"/>
    <n v="133.80000000000001"/>
    <n v="154.6"/>
    <n v="1629"/>
    <n v="138.19999999999999"/>
    <n v="163"/>
    <n v="565.79999999999995"/>
    <n v="148.1"/>
    <n v="139.4"/>
    <n v="434.3"/>
    <n v="146.80000000000001"/>
    <n v="146.5"/>
    <n v="289.7"/>
    <n v="142.69999999999999"/>
    <n v="143.19999999999999"/>
    <n v="144.9"/>
    <n v="123.6"/>
    <n v="136.80000000000001"/>
    <n v="150.1"/>
    <n v="132.19999999999999"/>
    <n v="136.80000000000001"/>
    <n v="140.1"/>
    <n v="559.59999999999991"/>
    <n v="139.89999999999998"/>
  </r>
  <r>
    <s v="Rural"/>
    <x v="6"/>
    <x v="0"/>
    <n v="136.6"/>
    <n v="152.5"/>
    <n v="138.19999999999999"/>
    <n v="142.4"/>
    <n v="123.9"/>
    <n v="135.5"/>
    <n v="131.69999999999999"/>
    <n v="121.3"/>
    <n v="108.4"/>
    <n v="138.9"/>
    <n v="137"/>
    <n v="155.80000000000001"/>
    <n v="1622.6"/>
    <n v="137.4"/>
    <n v="162.69999999999999"/>
    <n v="576.1"/>
    <n v="150.6"/>
    <n v="145.1"/>
    <n v="445.6"/>
    <n v="149.9"/>
    <n v="147.69999999999999"/>
    <n v="297.79999999999995"/>
    <n v="146.19999999999999"/>
    <n v="150.1"/>
    <n v="149.6"/>
    <n v="128.6"/>
    <n v="142.9"/>
    <n v="155.19999999999999"/>
    <n v="133.5"/>
    <n v="141.69999999999999"/>
    <n v="141"/>
    <n v="580.09999999999991"/>
    <n v="145.02499999999998"/>
  </r>
  <r>
    <s v="Urban"/>
    <x v="6"/>
    <x v="0"/>
    <n v="138.30000000000001"/>
    <n v="149.4"/>
    <n v="143.5"/>
    <n v="141.69999999999999"/>
    <n v="118.1"/>
    <n v="135.19999999999999"/>
    <n v="130.5"/>
    <n v="118.2"/>
    <n v="110.4"/>
    <n v="140.4"/>
    <n v="128.1"/>
    <n v="153.19999999999999"/>
    <n v="1616.2"/>
    <n v="137.30000000000001"/>
    <n v="164.7"/>
    <n v="556.39999999999986"/>
    <n v="143"/>
    <n v="130.4"/>
    <n v="414.5"/>
    <n v="141.1"/>
    <n v="147.69999999999999"/>
    <n v="284"/>
    <n v="128.6"/>
    <n v="136.30000000000001"/>
    <n v="137.80000000000001"/>
    <n v="118.6"/>
    <n v="131.9"/>
    <n v="146.6"/>
    <n v="131.69999999999999"/>
    <n v="131.80000000000001"/>
    <n v="138"/>
    <n v="530.09999999999991"/>
    <n v="132.52500000000001"/>
  </r>
  <r>
    <s v="Rural+Urban"/>
    <x v="6"/>
    <x v="0"/>
    <n v="137.1"/>
    <n v="151.4"/>
    <n v="140.19999999999999"/>
    <n v="142.1"/>
    <n v="121.8"/>
    <n v="135.4"/>
    <n v="131.30000000000001"/>
    <n v="120.3"/>
    <n v="109.1"/>
    <n v="139.4"/>
    <n v="133.30000000000001"/>
    <n v="154.6"/>
    <n v="1620.1000000000001"/>
    <n v="137.4"/>
    <n v="163.19999999999999"/>
    <n v="566"/>
    <n v="147.6"/>
    <n v="139"/>
    <n v="433"/>
    <n v="146.4"/>
    <n v="147.69999999999999"/>
    <n v="291.29999999999995"/>
    <n v="139.5"/>
    <n v="143.6"/>
    <n v="145.1"/>
    <n v="123.3"/>
    <n v="136.69999999999999"/>
    <n v="150.19999999999999"/>
    <n v="132.80000000000001"/>
    <n v="136.9"/>
    <n v="139.6"/>
    <n v="556.6"/>
    <n v="139.15"/>
  </r>
  <r>
    <s v="Rural"/>
    <x v="6"/>
    <x v="1"/>
    <n v="136.80000000000001"/>
    <n v="153"/>
    <n v="139.1"/>
    <n v="142.5"/>
    <n v="124.1"/>
    <n v="135.80000000000001"/>
    <n v="128.69999999999999"/>
    <n v="121.5"/>
    <n v="108.3"/>
    <n v="139.19999999999999"/>
    <n v="137.4"/>
    <n v="156.19999999999999"/>
    <n v="1622.4"/>
    <n v="137.19999999999999"/>
    <n v="162.80000000000001"/>
    <n v="578.5"/>
    <n v="150.5"/>
    <n v="146.1"/>
    <n v="446.5"/>
    <n v="149.9"/>
    <n v="148.5"/>
    <n v="298.60000000000002"/>
    <n v="145.30000000000001"/>
    <n v="150.1"/>
    <n v="149.9"/>
    <n v="129.19999999999999"/>
    <n v="143.4"/>
    <n v="155.5"/>
    <n v="134.9"/>
    <n v="142.19999999999999"/>
    <n v="141"/>
    <n v="580.1"/>
    <n v="145.02499999999998"/>
  </r>
  <r>
    <s v="Urban"/>
    <x v="6"/>
    <x v="1"/>
    <n v="139.4"/>
    <n v="150.1"/>
    <n v="145.30000000000001"/>
    <n v="141.69999999999999"/>
    <n v="118.4"/>
    <n v="137"/>
    <n v="131.6"/>
    <n v="119.9"/>
    <n v="110.4"/>
    <n v="140.80000000000001"/>
    <n v="128.30000000000001"/>
    <n v="153.5"/>
    <n v="1626.1"/>
    <n v="138"/>
    <n v="164.9"/>
    <n v="558.40000000000009"/>
    <n v="143.30000000000001"/>
    <n v="130.80000000000001"/>
    <n v="415.5"/>
    <n v="141.4"/>
    <n v="148.5"/>
    <n v="285.10000000000002"/>
    <n v="127.1"/>
    <n v="136.6"/>
    <n v="138.5"/>
    <n v="119.2"/>
    <n v="132.19999999999999"/>
    <n v="146.6"/>
    <n v="133"/>
    <n v="132.4"/>
    <n v="138.6"/>
    <n v="529.5"/>
    <n v="132.375"/>
  </r>
  <r>
    <s v="Rural+Urban"/>
    <x v="6"/>
    <x v="1"/>
    <n v="137.6"/>
    <n v="152"/>
    <n v="141.5"/>
    <n v="142.19999999999999"/>
    <n v="122"/>
    <n v="136.4"/>
    <n v="129.69999999999999"/>
    <n v="121"/>
    <n v="109"/>
    <n v="139.69999999999999"/>
    <n v="133.6"/>
    <n v="154.9"/>
    <n v="1623.4999999999998"/>
    <n v="137.5"/>
    <n v="163.4"/>
    <n v="568.20000000000005"/>
    <n v="147.69999999999999"/>
    <n v="139.69999999999999"/>
    <n v="433.9"/>
    <n v="146.5"/>
    <n v="148.5"/>
    <n v="292.2"/>
    <n v="138.4"/>
    <n v="143.69999999999999"/>
    <n v="145.6"/>
    <n v="123.9"/>
    <n v="137.1"/>
    <n v="150.30000000000001"/>
    <n v="134.1"/>
    <n v="137.4"/>
    <n v="139.9"/>
    <n v="556.29999999999995"/>
    <n v="139.07500000000002"/>
  </r>
  <r>
    <s v="Rural"/>
    <x v="6"/>
    <x v="2"/>
    <n v="136.9"/>
    <n v="154.1"/>
    <n v="138.69999999999999"/>
    <n v="142.5"/>
    <n v="124.1"/>
    <n v="136.1"/>
    <n v="128.19999999999999"/>
    <n v="122.3"/>
    <n v="108.3"/>
    <n v="138.9"/>
    <n v="137.4"/>
    <n v="156.4"/>
    <n v="1623.8"/>
    <n v="137.30000000000001"/>
    <n v="162.9"/>
    <n v="578.1"/>
    <n v="150.80000000000001"/>
    <n v="146.1"/>
    <n v="447"/>
    <n v="150.1"/>
    <n v="149"/>
    <n v="299"/>
    <n v="146.4"/>
    <n v="150"/>
    <n v="150.4"/>
    <n v="129.9"/>
    <n v="143.80000000000001"/>
    <n v="155.5"/>
    <n v="134"/>
    <n v="142.4"/>
    <n v="141.19999999999999"/>
    <n v="581.79999999999995"/>
    <n v="145.44999999999999"/>
  </r>
  <r>
    <s v="Urban"/>
    <x v="6"/>
    <x v="2"/>
    <n v="139.69999999999999"/>
    <n v="151.1"/>
    <n v="142.9"/>
    <n v="141.9"/>
    <n v="118.4"/>
    <n v="139.4"/>
    <n v="141.19999999999999"/>
    <n v="120.7"/>
    <n v="110.4"/>
    <n v="140.69999999999999"/>
    <n v="128.5"/>
    <n v="153.9"/>
    <n v="1639.9"/>
    <n v="139.6"/>
    <n v="165.3"/>
    <n v="559.29999999999995"/>
    <n v="143.5"/>
    <n v="131.19999999999999"/>
    <n v="416.29999999999995"/>
    <n v="141.6"/>
    <n v="149"/>
    <n v="285.8"/>
    <n v="128.80000000000001"/>
    <n v="136.80000000000001"/>
    <n v="139.19999999999999"/>
    <n v="119.9"/>
    <n v="133"/>
    <n v="146.69999999999999"/>
    <n v="132.5"/>
    <n v="132.80000000000001"/>
    <n v="139.5"/>
    <n v="532.20000000000005"/>
    <n v="133.05000000000001"/>
  </r>
  <r>
    <s v="Rural+Urban"/>
    <x v="6"/>
    <x v="2"/>
    <n v="137.80000000000001"/>
    <n v="153"/>
    <n v="140.30000000000001"/>
    <n v="142.30000000000001"/>
    <n v="122"/>
    <n v="137.6"/>
    <n v="132.6"/>
    <n v="121.8"/>
    <n v="109"/>
    <n v="139.5"/>
    <n v="133.69999999999999"/>
    <n v="155.19999999999999"/>
    <n v="1629.1999999999998"/>
    <n v="138.1"/>
    <n v="163.5"/>
    <n v="568.29999999999995"/>
    <n v="147.9"/>
    <n v="139.9"/>
    <n v="434.5"/>
    <n v="146.69999999999999"/>
    <n v="149"/>
    <n v="292.8"/>
    <n v="139.69999999999999"/>
    <n v="143.80000000000001"/>
    <n v="146.19999999999999"/>
    <n v="124.6"/>
    <n v="137.69999999999999"/>
    <n v="150.30000000000001"/>
    <n v="133.4"/>
    <n v="137.69999999999999"/>
    <n v="140.4"/>
    <n v="558.4"/>
    <n v="139.6"/>
  </r>
  <r>
    <s v="Rural"/>
    <x v="6"/>
    <x v="4"/>
    <n v="137.4"/>
    <n v="159.5"/>
    <n v="134.5"/>
    <n v="142.6"/>
    <n v="124"/>
    <n v="143.69999999999999"/>
    <n v="133.4"/>
    <n v="125.1"/>
    <n v="109.3"/>
    <n v="139.30000000000001"/>
    <n v="137.69999999999999"/>
    <n v="156.4"/>
    <n v="1644.4"/>
    <n v="139.19999999999999"/>
    <n v="163.30000000000001"/>
    <n v="580.79999999999995"/>
    <n v="151.30000000000001"/>
    <n v="146.6"/>
    <n v="448.59999999999997"/>
    <n v="150.69999999999999"/>
    <n v="150.1"/>
    <n v="299.60000000000002"/>
    <n v="146.9"/>
    <n v="149.5"/>
    <n v="151.30000000000001"/>
    <n v="130.19999999999999"/>
    <n v="145.9"/>
    <n v="156.69999999999999"/>
    <n v="133.9"/>
    <n v="142.9"/>
    <n v="142.4"/>
    <n v="583.29999999999995"/>
    <n v="145.82499999999999"/>
  </r>
  <r>
    <s v="Urban"/>
    <x v="6"/>
    <x v="4"/>
    <n v="140.4"/>
    <n v="156.69999999999999"/>
    <n v="138.30000000000001"/>
    <n v="142.4"/>
    <n v="118.6"/>
    <n v="149.69999999999999"/>
    <n v="161.6"/>
    <n v="124.4"/>
    <n v="111.2"/>
    <n v="141"/>
    <n v="128.9"/>
    <n v="154.5"/>
    <n v="1682.6000000000001"/>
    <n v="143.80000000000001"/>
    <n v="166.2"/>
    <n v="561.70000000000005"/>
    <n v="144"/>
    <n v="131.69999999999999"/>
    <n v="417.9"/>
    <n v="142.19999999999999"/>
    <n v="150.1"/>
    <n v="287.29999999999995"/>
    <n v="129.4"/>
    <n v="137.19999999999999"/>
    <n v="139.80000000000001"/>
    <n v="120.1"/>
    <n v="134"/>
    <n v="148"/>
    <n v="132.6"/>
    <n v="133.30000000000001"/>
    <n v="141.5"/>
    <n v="534.70000000000005"/>
    <n v="133.67500000000001"/>
  </r>
  <r>
    <s v="Rural+Urban"/>
    <x v="6"/>
    <x v="4"/>
    <n v="138.30000000000001"/>
    <n v="158.5"/>
    <n v="136"/>
    <n v="142.5"/>
    <n v="122"/>
    <n v="146.5"/>
    <n v="143"/>
    <n v="124.9"/>
    <n v="109.9"/>
    <n v="139.9"/>
    <n v="134"/>
    <n v="155.5"/>
    <n v="1657.8999999999999"/>
    <n v="140.9"/>
    <n v="164.1"/>
    <n v="570.70000000000005"/>
    <n v="148.4"/>
    <n v="140.4"/>
    <n v="436.1"/>
    <n v="147.30000000000001"/>
    <n v="150.1"/>
    <n v="293.79999999999995"/>
    <n v="140.30000000000001"/>
    <n v="143.69999999999999"/>
    <n v="146.9"/>
    <n v="124.9"/>
    <n v="139.19999999999999"/>
    <n v="151.6"/>
    <n v="133.4"/>
    <n v="138.19999999999999"/>
    <n v="142"/>
    <n v="560.5"/>
    <n v="140.125"/>
  </r>
  <r>
    <s v="Rural"/>
    <x v="6"/>
    <x v="5"/>
    <n v="137.80000000000001"/>
    <n v="163.5"/>
    <n v="136.19999999999999"/>
    <n v="143.19999999999999"/>
    <n v="124.3"/>
    <n v="143.30000000000001"/>
    <n v="140.6"/>
    <n v="128.69999999999999"/>
    <n v="110.6"/>
    <n v="140.4"/>
    <n v="138"/>
    <n v="156.6"/>
    <n v="1666.2"/>
    <n v="141"/>
    <n v="164.2"/>
    <n v="583.40000000000009"/>
    <n v="151.4"/>
    <n v="146.5"/>
    <n v="448.59999999999997"/>
    <n v="150.69999999999999"/>
    <n v="149.4"/>
    <n v="299"/>
    <n v="147.80000000000001"/>
    <n v="149.6"/>
    <n v="151.69999999999999"/>
    <n v="130.19999999999999"/>
    <n v="146.4"/>
    <n v="157.69999999999999"/>
    <n v="134.80000000000001"/>
    <n v="143.30000000000001"/>
    <n v="143.6"/>
    <n v="585.29999999999995"/>
    <n v="146.32499999999999"/>
  </r>
  <r>
    <s v="Urban"/>
    <x v="6"/>
    <x v="5"/>
    <n v="140.69999999999999"/>
    <n v="159.6"/>
    <n v="140.4"/>
    <n v="143.4"/>
    <n v="118.6"/>
    <n v="150.9"/>
    <n v="169.8"/>
    <n v="127.4"/>
    <n v="111.8"/>
    <n v="141"/>
    <n v="129"/>
    <n v="155.1"/>
    <n v="1704.3000000000002"/>
    <n v="145.6"/>
    <n v="166.7"/>
    <n v="563.70000000000005"/>
    <n v="144.30000000000001"/>
    <n v="131.69999999999999"/>
    <n v="418.4"/>
    <n v="142.4"/>
    <n v="149.4"/>
    <n v="286.8"/>
    <n v="130.5"/>
    <n v="137.4"/>
    <n v="140.30000000000001"/>
    <n v="119.6"/>
    <n v="134.30000000000001"/>
    <n v="148.9"/>
    <n v="133.69999999999999"/>
    <n v="133.6"/>
    <n v="142.1"/>
    <n v="536.4"/>
    <n v="134.1"/>
  </r>
  <r>
    <s v="Rural+Urban"/>
    <x v="6"/>
    <x v="5"/>
    <n v="138.69999999999999"/>
    <n v="162.1"/>
    <n v="137.80000000000001"/>
    <n v="143.30000000000001"/>
    <n v="122.2"/>
    <n v="146.80000000000001"/>
    <n v="150.5"/>
    <n v="128.30000000000001"/>
    <n v="111"/>
    <n v="140.6"/>
    <n v="134.19999999999999"/>
    <n v="155.9"/>
    <n v="1679.8999999999999"/>
    <n v="142.69999999999999"/>
    <n v="164.9"/>
    <n v="573"/>
    <n v="148.6"/>
    <n v="140.4"/>
    <n v="436.4"/>
    <n v="147.4"/>
    <n v="149.4"/>
    <n v="293.20000000000005"/>
    <n v="141.19999999999999"/>
    <n v="143.80000000000001"/>
    <n v="147.4"/>
    <n v="124.6"/>
    <n v="139.6"/>
    <n v="152.5"/>
    <n v="134.30000000000001"/>
    <n v="138.6"/>
    <n v="142.9"/>
    <n v="562.1"/>
    <n v="140.52500000000001"/>
  </r>
  <r>
    <s v="Rural"/>
    <x v="6"/>
    <x v="6"/>
    <n v="138.4"/>
    <n v="164"/>
    <n v="138.4"/>
    <n v="143.9"/>
    <n v="124.4"/>
    <n v="146.4"/>
    <n v="150.1"/>
    <n v="130.6"/>
    <n v="110.8"/>
    <n v="141.69999999999999"/>
    <n v="138.5"/>
    <n v="156.69999999999999"/>
    <n v="1688.4"/>
    <n v="143"/>
    <n v="164.5"/>
    <n v="586.6"/>
    <n v="151.6"/>
    <n v="146.6"/>
    <n v="449.1"/>
    <n v="150.9"/>
    <n v="150.6"/>
    <n v="300.60000000000002"/>
    <n v="146.80000000000001"/>
    <n v="150"/>
    <n v="152.19999999999999"/>
    <n v="131.19999999999999"/>
    <n v="147.5"/>
    <n v="159.1"/>
    <n v="136.1"/>
    <n v="144.19999999999999"/>
    <n v="144.9"/>
    <n v="587.09999999999991"/>
    <n v="146.77499999999998"/>
  </r>
  <r>
    <s v="Urban"/>
    <x v="6"/>
    <x v="6"/>
    <n v="141.4"/>
    <n v="160.19999999999999"/>
    <n v="142.5"/>
    <n v="144.1"/>
    <n v="119.3"/>
    <n v="154.69999999999999"/>
    <n v="180.1"/>
    <n v="128.9"/>
    <n v="111.8"/>
    <n v="141.6"/>
    <n v="129.5"/>
    <n v="155.6"/>
    <n v="1727.9"/>
    <n v="147.69999999999999"/>
    <n v="167.2"/>
    <n v="566.79999999999995"/>
    <n v="144.69999999999999"/>
    <n v="131.9"/>
    <n v="419.3"/>
    <n v="142.69999999999999"/>
    <n v="150.6"/>
    <n v="288.29999999999995"/>
    <n v="127"/>
    <n v="137.69999999999999"/>
    <n v="140.80000000000001"/>
    <n v="120.6"/>
    <n v="135"/>
    <n v="150.4"/>
    <n v="135.1"/>
    <n v="134.5"/>
    <n v="143.30000000000001"/>
    <n v="535.70000000000005"/>
    <n v="133.92500000000001"/>
  </r>
  <r>
    <s v="Rural+Urban"/>
    <x v="6"/>
    <x v="6"/>
    <n v="139.30000000000001"/>
    <n v="162.69999999999999"/>
    <n v="140"/>
    <n v="144"/>
    <n v="122.5"/>
    <n v="150.30000000000001"/>
    <n v="160.30000000000001"/>
    <n v="130"/>
    <n v="111.1"/>
    <n v="141.69999999999999"/>
    <n v="134.69999999999999"/>
    <n v="156.19999999999999"/>
    <n v="1702.8"/>
    <n v="144.69999999999999"/>
    <n v="165.2"/>
    <n v="576.09999999999991"/>
    <n v="148.9"/>
    <n v="140.5"/>
    <n v="437"/>
    <n v="147.6"/>
    <n v="150.6"/>
    <n v="294.79999999999995"/>
    <n v="139.30000000000001"/>
    <n v="144.19999999999999"/>
    <n v="147.9"/>
    <n v="125.6"/>
    <n v="140.5"/>
    <n v="154"/>
    <n v="135.69999999999999"/>
    <n v="139.5"/>
    <n v="144.19999999999999"/>
    <n v="563.1"/>
    <n v="140.77500000000001"/>
  </r>
  <r>
    <s v="Rural"/>
    <x v="6"/>
    <x v="7"/>
    <n v="139.19999999999999"/>
    <n v="161.9"/>
    <n v="137.1"/>
    <n v="144.6"/>
    <n v="124.7"/>
    <n v="145.5"/>
    <n v="156.19999999999999"/>
    <n v="131.5"/>
    <n v="111.7"/>
    <n v="142.69999999999999"/>
    <n v="138.5"/>
    <n v="156.9"/>
    <n v="1696"/>
    <n v="144"/>
    <n v="165.1"/>
    <n v="590.40000000000009"/>
    <n v="151.80000000000001"/>
    <n v="146.6"/>
    <n v="449.5"/>
    <n v="151.1"/>
    <n v="151.6"/>
    <n v="301.79999999999995"/>
    <n v="146.4"/>
    <n v="150.19999999999999"/>
    <n v="152.69999999999999"/>
    <n v="131.4"/>
    <n v="148"/>
    <n v="159.69999999999999"/>
    <n v="138.80000000000001"/>
    <n v="144.9"/>
    <n v="145.69999999999999"/>
    <n v="587.70000000000005"/>
    <n v="146.92500000000001"/>
  </r>
  <r>
    <s v="Urban"/>
    <x v="6"/>
    <x v="7"/>
    <n v="142.1"/>
    <n v="158.30000000000001"/>
    <n v="140.80000000000001"/>
    <n v="144.9"/>
    <n v="119.9"/>
    <n v="153.9"/>
    <n v="189.1"/>
    <n v="129.80000000000001"/>
    <n v="112.7"/>
    <n v="142.5"/>
    <n v="129.80000000000001"/>
    <n v="156.19999999999999"/>
    <n v="1739.2999999999997"/>
    <n v="149.1"/>
    <n v="167.9"/>
    <n v="570.90000000000009"/>
    <n v="145"/>
    <n v="132.19999999999999"/>
    <n v="420.2"/>
    <n v="143"/>
    <n v="151.6"/>
    <n v="289.7"/>
    <n v="125.5"/>
    <n v="138.1"/>
    <n v="141.5"/>
    <n v="120.8"/>
    <n v="135.4"/>
    <n v="151.5"/>
    <n v="137.80000000000001"/>
    <n v="135.30000000000001"/>
    <n v="144.19999999999999"/>
    <n v="535.9"/>
    <n v="133.97499999999999"/>
  </r>
  <r>
    <s v="Rural+Urban"/>
    <x v="6"/>
    <x v="7"/>
    <n v="140.1"/>
    <n v="160.6"/>
    <n v="138.5"/>
    <n v="144.69999999999999"/>
    <n v="122.9"/>
    <n v="149.4"/>
    <n v="167.4"/>
    <n v="130.9"/>
    <n v="112"/>
    <n v="142.6"/>
    <n v="134.9"/>
    <n v="156.6"/>
    <n v="1711.6"/>
    <n v="145.9"/>
    <n v="165.8"/>
    <n v="580"/>
    <n v="149.1"/>
    <n v="140.6"/>
    <n v="437.6"/>
    <n v="147.9"/>
    <n v="151.6"/>
    <n v="296.10000000000002"/>
    <n v="138.5"/>
    <n v="144.5"/>
    <n v="148.5"/>
    <n v="125.8"/>
    <n v="140.9"/>
    <n v="154.9"/>
    <n v="138.4"/>
    <n v="140.19999999999999"/>
    <n v="145"/>
    <n v="563.70000000000005"/>
    <n v="140.92500000000001"/>
  </r>
  <r>
    <s v="Rural"/>
    <x v="6"/>
    <x v="8"/>
    <n v="140.1"/>
    <n v="161.9"/>
    <n v="138.30000000000001"/>
    <n v="145.69999999999999"/>
    <n v="125.1"/>
    <n v="143.80000000000001"/>
    <n v="163.4"/>
    <n v="132.19999999999999"/>
    <n v="112.8"/>
    <n v="144.19999999999999"/>
    <n v="138.5"/>
    <n v="157.19999999999999"/>
    <n v="1710.1999999999998"/>
    <n v="145.5"/>
    <n v="165.7"/>
    <n v="592.70000000000005"/>
    <n v="151.69999999999999"/>
    <n v="146.6"/>
    <n v="449.29999999999995"/>
    <n v="151"/>
    <n v="152.19999999999999"/>
    <n v="302.5"/>
    <n v="146.9"/>
    <n v="150.30000000000001"/>
    <n v="153.4"/>
    <n v="131.6"/>
    <n v="148.30000000000001"/>
    <n v="160.19999999999999"/>
    <n v="140.19999999999999"/>
    <n v="145.4"/>
    <n v="146.69999999999999"/>
    <n v="589"/>
    <n v="147.25"/>
  </r>
  <r>
    <s v="Urban"/>
    <x v="6"/>
    <x v="8"/>
    <n v="142.69999999999999"/>
    <n v="158.69999999999999"/>
    <n v="141.6"/>
    <n v="144.9"/>
    <n v="120.8"/>
    <n v="149.80000000000001"/>
    <n v="192.4"/>
    <n v="130.30000000000001"/>
    <n v="114"/>
    <n v="143.80000000000001"/>
    <n v="130"/>
    <n v="156.4"/>
    <n v="1744.9"/>
    <n v="149.5"/>
    <n v="168.6"/>
    <n v="573.5"/>
    <n v="145.30000000000001"/>
    <n v="132.19999999999999"/>
    <n v="420.8"/>
    <n v="143.30000000000001"/>
    <n v="152.19999999999999"/>
    <n v="290.5"/>
    <n v="126.6"/>
    <n v="138.30000000000001"/>
    <n v="141.9"/>
    <n v="121.2"/>
    <n v="135.9"/>
    <n v="151.6"/>
    <n v="139"/>
    <n v="135.69999999999999"/>
    <n v="144.69999999999999"/>
    <n v="537.70000000000005"/>
    <n v="134.42500000000001"/>
  </r>
  <r>
    <s v="Rural+Urban"/>
    <x v="6"/>
    <x v="8"/>
    <n v="140.9"/>
    <n v="160.80000000000001"/>
    <n v="139.6"/>
    <n v="145.4"/>
    <n v="123.5"/>
    <n v="146.6"/>
    <n v="173.2"/>
    <n v="131.6"/>
    <n v="113.2"/>
    <n v="144.1"/>
    <n v="135"/>
    <n v="156.80000000000001"/>
    <n v="1722.6999999999998"/>
    <n v="147"/>
    <n v="166.5"/>
    <n v="582.5"/>
    <n v="149.19999999999999"/>
    <n v="140.6"/>
    <n v="437.69999999999993"/>
    <n v="147.9"/>
    <n v="152.19999999999999"/>
    <n v="296.79999999999995"/>
    <n v="139.19999999999999"/>
    <n v="144.6"/>
    <n v="149"/>
    <n v="126.1"/>
    <n v="141.30000000000001"/>
    <n v="155.19999999999999"/>
    <n v="139.69999999999999"/>
    <n v="140.69999999999999"/>
    <n v="145.80000000000001"/>
    <n v="565.09999999999991"/>
    <n v="141.27499999999998"/>
  </r>
  <r>
    <s v="Rural"/>
    <x v="6"/>
    <x v="9"/>
    <n v="141"/>
    <n v="161.6"/>
    <n v="141.19999999999999"/>
    <n v="146.5"/>
    <n v="125.6"/>
    <n v="145.69999999999999"/>
    <n v="178.8"/>
    <n v="133.1"/>
    <n v="113.6"/>
    <n v="145.5"/>
    <n v="138.6"/>
    <n v="157.4"/>
    <n v="1738.3000000000002"/>
    <n v="148.30000000000001"/>
    <n v="166.3"/>
    <n v="593.9"/>
    <n v="151.69999999999999"/>
    <n v="146.69999999999999"/>
    <n v="449.4"/>
    <n v="151"/>
    <n v="153"/>
    <n v="303.60000000000002"/>
    <n v="147.69999999999999"/>
    <n v="150.6"/>
    <n v="153.69999999999999"/>
    <n v="131.69999999999999"/>
    <n v="148.69999999999999"/>
    <n v="160.69999999999999"/>
    <n v="140.30000000000001"/>
    <n v="145.69999999999999"/>
    <n v="148.30000000000001"/>
    <n v="590.69999999999993"/>
    <n v="147.67500000000001"/>
  </r>
  <r>
    <s v="Urban"/>
    <x v="6"/>
    <x v="9"/>
    <n v="143.5"/>
    <n v="159.80000000000001"/>
    <n v="144.69999999999999"/>
    <n v="145.6"/>
    <n v="121.1"/>
    <n v="150.6"/>
    <n v="207.2"/>
    <n v="131.19999999999999"/>
    <n v="114.8"/>
    <n v="145.19999999999999"/>
    <n v="130.19999999999999"/>
    <n v="156.80000000000001"/>
    <n v="1772.4"/>
    <n v="151.9"/>
    <n v="169.3"/>
    <n v="575.20000000000005"/>
    <n v="145.9"/>
    <n v="132.4"/>
    <n v="422.20000000000005"/>
    <n v="143.9"/>
    <n v="153"/>
    <n v="291.7"/>
    <n v="128.9"/>
    <n v="138.69999999999999"/>
    <n v="142.4"/>
    <n v="121.5"/>
    <n v="136.19999999999999"/>
    <n v="151.69999999999999"/>
    <n v="139.5"/>
    <n v="136"/>
    <n v="146"/>
    <n v="540.79999999999995"/>
    <n v="135.19999999999999"/>
  </r>
  <r>
    <s v="Rural+Urban"/>
    <x v="6"/>
    <x v="9"/>
    <n v="141.80000000000001"/>
    <n v="161"/>
    <n v="142.6"/>
    <n v="146.19999999999999"/>
    <n v="123.9"/>
    <n v="148"/>
    <n v="188.4"/>
    <n v="132.5"/>
    <n v="114"/>
    <n v="145.4"/>
    <n v="135.1"/>
    <n v="157.1"/>
    <n v="1750.4999999999998"/>
    <n v="149.6"/>
    <n v="167.1"/>
    <n v="583.9"/>
    <n v="149.4"/>
    <n v="140.80000000000001"/>
    <n v="438.40000000000003"/>
    <n v="148.19999999999999"/>
    <n v="153"/>
    <n v="298"/>
    <n v="140.6"/>
    <n v="145"/>
    <n v="149.4"/>
    <n v="126.3"/>
    <n v="141.69999999999999"/>
    <n v="155.4"/>
    <n v="140"/>
    <n v="141"/>
    <n v="147.19999999999999"/>
    <n v="567.29999999999995"/>
    <n v="141.82499999999999"/>
  </r>
  <r>
    <s v="Rural"/>
    <x v="6"/>
    <x v="10"/>
    <n v="141.80000000000001"/>
    <n v="163.69999999999999"/>
    <n v="143.80000000000001"/>
    <n v="147.1"/>
    <n v="126"/>
    <n v="146.19999999999999"/>
    <n v="191.4"/>
    <n v="136.19999999999999"/>
    <n v="113.8"/>
    <n v="147.30000000000001"/>
    <n v="138.69999999999999"/>
    <n v="157.69999999999999"/>
    <n v="1765.8999999999999"/>
    <n v="150.9"/>
    <n v="167.2"/>
    <n v="595.6"/>
    <n v="152.30000000000001"/>
    <n v="147"/>
    <n v="450.8"/>
    <n v="151.5"/>
    <n v="153.5"/>
    <n v="304.39999999999998"/>
    <n v="148.4"/>
    <n v="150.9"/>
    <n v="154.30000000000001"/>
    <n v="132.1"/>
    <n v="149.1"/>
    <n v="160.80000000000001"/>
    <n v="140.6"/>
    <n v="146.1"/>
    <n v="149.9"/>
    <n v="592.19999999999993"/>
    <n v="148.04999999999998"/>
  </r>
  <r>
    <s v="Urban"/>
    <x v="6"/>
    <x v="10"/>
    <n v="144.1"/>
    <n v="162.4"/>
    <n v="148.4"/>
    <n v="145.9"/>
    <n v="121.5"/>
    <n v="148.80000000000001"/>
    <n v="215.7"/>
    <n v="134.6"/>
    <n v="115"/>
    <n v="146.30000000000001"/>
    <n v="130.5"/>
    <n v="157.19999999999999"/>
    <n v="1793.5"/>
    <n v="153.6"/>
    <n v="169.9"/>
    <n v="576.9"/>
    <n v="146.30000000000001"/>
    <n v="132.6"/>
    <n v="423.09999999999997"/>
    <n v="144.19999999999999"/>
    <n v="153.5"/>
    <n v="292.60000000000002"/>
    <n v="132.19999999999999"/>
    <n v="139.1"/>
    <n v="142.80000000000001"/>
    <n v="121.7"/>
    <n v="136.69999999999999"/>
    <n v="151.80000000000001"/>
    <n v="139.80000000000001"/>
    <n v="136.30000000000001"/>
    <n v="147"/>
    <n v="544.79999999999995"/>
    <n v="136.19999999999999"/>
  </r>
  <r>
    <s v="Rural+Urban"/>
    <x v="6"/>
    <x v="10"/>
    <n v="142.5"/>
    <n v="163.19999999999999"/>
    <n v="145.6"/>
    <n v="146.69999999999999"/>
    <n v="124.3"/>
    <n v="147.4"/>
    <n v="199.6"/>
    <n v="135.69999999999999"/>
    <n v="114.2"/>
    <n v="147"/>
    <n v="135.30000000000001"/>
    <n v="157.5"/>
    <n v="1775.6000000000001"/>
    <n v="151.9"/>
    <n v="167.9"/>
    <n v="585.60000000000014"/>
    <n v="149.9"/>
    <n v="141"/>
    <n v="439.5"/>
    <n v="148.6"/>
    <n v="153.5"/>
    <n v="298.8"/>
    <n v="142.30000000000001"/>
    <n v="145.30000000000001"/>
    <n v="149.9"/>
    <n v="126.6"/>
    <n v="142.1"/>
    <n v="155.5"/>
    <n v="140.30000000000001"/>
    <n v="141.30000000000001"/>
    <n v="148.6"/>
    <n v="569.70000000000005"/>
    <n v="142.42500000000001"/>
  </r>
  <r>
    <s v="Rural"/>
    <x v="6"/>
    <x v="11"/>
    <n v="142.80000000000001"/>
    <n v="165.3"/>
    <n v="149.5"/>
    <n v="148.69999999999999"/>
    <n v="127.5"/>
    <n v="144.30000000000001"/>
    <n v="209.5"/>
    <n v="138.80000000000001"/>
    <n v="113.6"/>
    <n v="149.1"/>
    <n v="139.30000000000001"/>
    <n v="158.30000000000001"/>
    <n v="1801.6999999999998"/>
    <n v="154.30000000000001"/>
    <n v="167.8"/>
    <n v="597.20000000000005"/>
    <n v="152.6"/>
    <n v="147.30000000000001"/>
    <n v="451.79999999999995"/>
    <n v="151.9"/>
    <n v="152.80000000000001"/>
    <n v="304"/>
    <n v="149.9"/>
    <n v="151.19999999999999"/>
    <n v="154.80000000000001"/>
    <n v="135"/>
    <n v="149.5"/>
    <n v="161.1"/>
    <n v="140.6"/>
    <n v="147.1"/>
    <n v="152.30000000000001"/>
    <n v="597.20000000000005"/>
    <n v="149.30000000000001"/>
  </r>
  <r>
    <s v="Urban"/>
    <x v="6"/>
    <x v="11"/>
    <n v="144.9"/>
    <n v="164.5"/>
    <n v="153.69999999999999"/>
    <n v="147.5"/>
    <n v="122.7"/>
    <n v="147.19999999999999"/>
    <n v="231.5"/>
    <n v="137.19999999999999"/>
    <n v="114.7"/>
    <n v="148"/>
    <n v="130.80000000000001"/>
    <n v="157.69999999999999"/>
    <n v="1825.9"/>
    <n v="156.30000000000001"/>
    <n v="170.4"/>
    <n v="578.20000000000005"/>
    <n v="146.80000000000001"/>
    <n v="132.80000000000001"/>
    <n v="424.20000000000005"/>
    <n v="144.6"/>
    <n v="152.80000000000001"/>
    <n v="292.60000000000002"/>
    <n v="133.6"/>
    <n v="139.80000000000001"/>
    <n v="143.19999999999999"/>
    <n v="125.2"/>
    <n v="136.80000000000001"/>
    <n v="151.9"/>
    <n v="140.19999999999999"/>
    <n v="137.69999999999999"/>
    <n v="148.30000000000001"/>
    <n v="550.5"/>
    <n v="137.625"/>
  </r>
  <r>
    <s v="Rural+Urban"/>
    <x v="6"/>
    <x v="11"/>
    <n v="143.5"/>
    <n v="165"/>
    <n v="151.1"/>
    <n v="148.30000000000001"/>
    <n v="125.7"/>
    <n v="145.69999999999999"/>
    <n v="217"/>
    <n v="138.30000000000001"/>
    <n v="114"/>
    <n v="148.69999999999999"/>
    <n v="135.80000000000001"/>
    <n v="158"/>
    <n v="1810.3"/>
    <n v="155"/>
    <n v="168.5"/>
    <n v="587"/>
    <n v="150.30000000000001"/>
    <n v="141.30000000000001"/>
    <n v="440.6"/>
    <n v="149"/>
    <n v="152.80000000000001"/>
    <n v="298.60000000000002"/>
    <n v="143.69999999999999"/>
    <n v="145.80000000000001"/>
    <n v="150.4"/>
    <n v="129.80000000000001"/>
    <n v="142.30000000000001"/>
    <n v="155.69999999999999"/>
    <n v="140.4"/>
    <n v="142.5"/>
    <n v="150.4"/>
    <n v="575"/>
    <n v="143.75"/>
  </r>
  <r>
    <s v="Rural"/>
    <x v="7"/>
    <x v="0"/>
    <n v="143.69999999999999"/>
    <n v="167.3"/>
    <n v="153.5"/>
    <n v="150.5"/>
    <n v="132"/>
    <n v="142.19999999999999"/>
    <n v="191.5"/>
    <n v="141.1"/>
    <n v="113.8"/>
    <n v="151.6"/>
    <n v="139.69999999999999"/>
    <n v="158.69999999999999"/>
    <n v="1798.8999999999999"/>
    <n v="153"/>
    <n v="168.6"/>
    <n v="600.9"/>
    <n v="152.80000000000001"/>
    <n v="147.4"/>
    <n v="452.30000000000007"/>
    <n v="152.1"/>
    <n v="153.9"/>
    <n v="305.60000000000002"/>
    <n v="150.4"/>
    <n v="151.69999999999999"/>
    <n v="155.69999999999999"/>
    <n v="136.30000000000001"/>
    <n v="150.1"/>
    <n v="161.69999999999999"/>
    <n v="142.5"/>
    <n v="148.1"/>
    <n v="151.9"/>
    <n v="600.09999999999991"/>
    <n v="150.02500000000001"/>
  </r>
  <r>
    <s v="Urban"/>
    <x v="7"/>
    <x v="0"/>
    <n v="145.6"/>
    <n v="167.6"/>
    <n v="157"/>
    <n v="149.30000000000001"/>
    <n v="126.3"/>
    <n v="144.4"/>
    <n v="207.8"/>
    <n v="139.1"/>
    <n v="114.8"/>
    <n v="149.5"/>
    <n v="131.1"/>
    <n v="158.5"/>
    <n v="1814.3"/>
    <n v="154.4"/>
    <n v="170.8"/>
    <n v="581.19999999999993"/>
    <n v="147"/>
    <n v="133.19999999999999"/>
    <n v="425.1"/>
    <n v="144.9"/>
    <n v="153.9"/>
    <n v="294"/>
    <n v="135.1"/>
    <n v="140.1"/>
    <n v="143.80000000000001"/>
    <n v="126.1"/>
    <n v="137.19999999999999"/>
    <n v="152.1"/>
    <n v="142.1"/>
    <n v="138.4"/>
    <n v="148.19999999999999"/>
    <n v="553.4"/>
    <n v="138.35"/>
  </r>
  <r>
    <s v="Rural+Urban"/>
    <x v="7"/>
    <x v="0"/>
    <n v="144.30000000000001"/>
    <n v="167.4"/>
    <n v="154.9"/>
    <n v="150.1"/>
    <n v="129.9"/>
    <n v="143.19999999999999"/>
    <n v="197"/>
    <n v="140.4"/>
    <n v="114.1"/>
    <n v="150.9"/>
    <n v="136.1"/>
    <n v="158.6"/>
    <n v="1804.3000000000002"/>
    <n v="153.5"/>
    <n v="169.2"/>
    <n v="590.4"/>
    <n v="150.5"/>
    <n v="141.5"/>
    <n v="441.2"/>
    <n v="149.19999999999999"/>
    <n v="153.9"/>
    <n v="300.10000000000002"/>
    <n v="144.6"/>
    <n v="146.19999999999999"/>
    <n v="151.19999999999999"/>
    <n v="130.9"/>
    <n v="142.80000000000001"/>
    <n v="156.1"/>
    <n v="142.30000000000001"/>
    <n v="143.4"/>
    <n v="150.19999999999999"/>
    <n v="577.79999999999995"/>
    <n v="144.44999999999999"/>
  </r>
  <r>
    <s v="Rural"/>
    <x v="7"/>
    <x v="1"/>
    <n v="144.19999999999999"/>
    <n v="167.5"/>
    <n v="150.9"/>
    <n v="150.9"/>
    <n v="133.69999999999999"/>
    <n v="140.69999999999999"/>
    <n v="165.1"/>
    <n v="141.80000000000001"/>
    <n v="113.1"/>
    <n v="152.80000000000001"/>
    <n v="140.1"/>
    <n v="159.19999999999999"/>
    <n v="1769.7000000000003"/>
    <n v="149.80000000000001"/>
    <n v="169.4"/>
    <n v="603.29999999999995"/>
    <n v="153"/>
    <n v="147.5"/>
    <n v="452.8"/>
    <n v="152.30000000000001"/>
    <n v="154.80000000000001"/>
    <n v="306.60000000000002"/>
    <n v="152.30000000000001"/>
    <n v="151.80000000000001"/>
    <n v="156.19999999999999"/>
    <n v="136"/>
    <n v="150.4"/>
    <n v="161.9"/>
    <n v="143.4"/>
    <n v="148.4"/>
    <n v="150.4"/>
    <n v="602"/>
    <n v="150.5"/>
  </r>
  <r>
    <s v="Urban"/>
    <x v="7"/>
    <x v="1"/>
    <n v="146.19999999999999"/>
    <n v="167.6"/>
    <n v="153.1"/>
    <n v="150.69999999999999"/>
    <n v="127.4"/>
    <n v="143.1"/>
    <n v="181.7"/>
    <n v="139.6"/>
    <n v="114.6"/>
    <n v="150.4"/>
    <n v="131.5"/>
    <n v="159"/>
    <n v="1785.1"/>
    <n v="151.69999999999999"/>
    <n v="172"/>
    <n v="584.70000000000005"/>
    <n v="147.30000000000001"/>
    <n v="133.5"/>
    <n v="426"/>
    <n v="145.19999999999999"/>
    <n v="154.80000000000001"/>
    <n v="295.20000000000005"/>
    <n v="138.9"/>
    <n v="140.4"/>
    <n v="144.4"/>
    <n v="125.2"/>
    <n v="137.69999999999999"/>
    <n v="152.19999999999999"/>
    <n v="143.5"/>
    <n v="138.4"/>
    <n v="147.69999999999999"/>
    <n v="556.69999999999993"/>
    <n v="139.17499999999998"/>
  </r>
  <r>
    <s v="Rural+Urban"/>
    <x v="7"/>
    <x v="1"/>
    <n v="144.80000000000001"/>
    <n v="167.5"/>
    <n v="151.80000000000001"/>
    <n v="150.80000000000001"/>
    <n v="131.4"/>
    <n v="141.80000000000001"/>
    <n v="170.7"/>
    <n v="141.1"/>
    <n v="113.6"/>
    <n v="152"/>
    <n v="136.5"/>
    <n v="159.1"/>
    <n v="1775.1"/>
    <n v="150.5"/>
    <n v="170.1"/>
    <n v="593.20000000000005"/>
    <n v="150.80000000000001"/>
    <n v="141.69999999999999"/>
    <n v="442"/>
    <n v="149.5"/>
    <n v="154.80000000000001"/>
    <n v="301.20000000000005"/>
    <n v="147.19999999999999"/>
    <n v="146.4"/>
    <n v="151.69999999999999"/>
    <n v="130.30000000000001"/>
    <n v="143.19999999999999"/>
    <n v="156.19999999999999"/>
    <n v="143.4"/>
    <n v="143.6"/>
    <n v="149.1"/>
    <n v="580.1"/>
    <n v="145.02499999999998"/>
  </r>
  <r>
    <s v="Rural"/>
    <x v="7"/>
    <x v="2"/>
    <n v="144.4"/>
    <n v="166.8"/>
    <n v="147.6"/>
    <n v="151.69999999999999"/>
    <n v="133.30000000000001"/>
    <n v="141.80000000000001"/>
    <n v="152.30000000000001"/>
    <n v="141.80000000000001"/>
    <n v="112.6"/>
    <n v="154"/>
    <n v="140.1"/>
    <n v="160"/>
    <n v="1754.5"/>
    <n v="148.19999999999999"/>
    <n v="170.5"/>
    <n v="606.9"/>
    <n v="153.4"/>
    <n v="147.6"/>
    <n v="453.5"/>
    <n v="152.5"/>
    <n v="154.5"/>
    <n v="306"/>
    <n v="153.4"/>
    <n v="151.5"/>
    <n v="156.69999999999999"/>
    <n v="135.80000000000001"/>
    <n v="151.19999999999999"/>
    <n v="161.19999999999999"/>
    <n v="145.1"/>
    <n v="148.6"/>
    <n v="149.80000000000001"/>
    <n v="601.9"/>
    <n v="150.47499999999999"/>
  </r>
  <r>
    <s v="Urban"/>
    <x v="7"/>
    <x v="2"/>
    <n v="146.5"/>
    <n v="167.5"/>
    <n v="148.9"/>
    <n v="151.1"/>
    <n v="127.5"/>
    <n v="143.30000000000001"/>
    <n v="167"/>
    <n v="139.69999999999999"/>
    <n v="114.4"/>
    <n v="151.5"/>
    <n v="131.9"/>
    <n v="159.1"/>
    <n v="1766.6"/>
    <n v="150.1"/>
    <n v="173.3"/>
    <n v="588.40000000000009"/>
    <n v="147.69999999999999"/>
    <n v="133.80000000000001"/>
    <n v="427.1"/>
    <n v="145.6"/>
    <n v="154.5"/>
    <n v="295.3"/>
    <n v="141.4"/>
    <n v="140.80000000000001"/>
    <n v="145"/>
    <n v="124.6"/>
    <n v="137.9"/>
    <n v="152.5"/>
    <n v="145.30000000000001"/>
    <n v="138.69999999999999"/>
    <n v="147.30000000000001"/>
    <n v="559.29999999999995"/>
    <n v="139.82500000000002"/>
  </r>
  <r>
    <s v="Rural+Urban"/>
    <x v="7"/>
    <x v="2"/>
    <n v="145.1"/>
    <n v="167"/>
    <n v="148.1"/>
    <n v="151.5"/>
    <n v="131.19999999999999"/>
    <n v="142.5"/>
    <n v="157.30000000000001"/>
    <n v="141.1"/>
    <n v="113.2"/>
    <n v="153.19999999999999"/>
    <n v="136.69999999999999"/>
    <n v="159.6"/>
    <n v="1758.6999999999998"/>
    <n v="148.9"/>
    <n v="171.2"/>
    <n v="596.79999999999995"/>
    <n v="151.19999999999999"/>
    <n v="141.9"/>
    <n v="442.90000000000003"/>
    <n v="149.80000000000001"/>
    <n v="154.5"/>
    <n v="300.89999999999998"/>
    <n v="148.9"/>
    <n v="146.4"/>
    <n v="152.30000000000001"/>
    <n v="129.9"/>
    <n v="143.69999999999999"/>
    <n v="156.1"/>
    <n v="145.19999999999999"/>
    <n v="143.80000000000001"/>
    <n v="148.6"/>
    <n v="581.29999999999995"/>
    <n v="145.32499999999999"/>
  </r>
  <r>
    <s v="Rural"/>
    <x v="7"/>
    <x v="3"/>
    <n v="147.19999999999999"/>
    <n v="181.67"/>
    <n v="146.9"/>
    <n v="155.6"/>
    <n v="137.1"/>
    <n v="147.30000000000001"/>
    <n v="162.69999999999999"/>
    <n v="150.19999999999999"/>
    <n v="119.8"/>
    <n v="158.69999999999999"/>
    <n v="139.19999999999999"/>
    <n v="161.28"/>
    <n v="1818.55"/>
    <n v="150.1"/>
    <n v="178.68"/>
    <n v="621.52"/>
    <n v="154.81"/>
    <n v="149.48999999999998"/>
    <n v="458.37999999999994"/>
    <n v="154.07999999999998"/>
    <n v="155.6"/>
    <n v="307.61"/>
    <n v="148.4"/>
    <n v="152.01000000000002"/>
    <n v="154.30000000000001"/>
    <n v="141.80000000000001"/>
    <n v="152.30000000000001"/>
    <n v="161.92000000000002"/>
    <n v="151.34"/>
    <n v="151.92000000000002"/>
    <n v="154.56"/>
    <n v="604.13"/>
    <n v="151.0325"/>
  </r>
  <r>
    <s v="Urban"/>
    <x v="7"/>
    <x v="3"/>
    <n v="151.80000000000001"/>
    <n v="187.25"/>
    <n v="151.9"/>
    <n v="155.5"/>
    <n v="131.6"/>
    <n v="152.9"/>
    <n v="180"/>
    <n v="150.80000000000001"/>
    <n v="121.2"/>
    <n v="154"/>
    <n v="133.5"/>
    <n v="162.37"/>
    <n v="1852.82"/>
    <n v="153.5"/>
    <n v="183.31"/>
    <n v="614.82000000000005"/>
    <n v="149.39000000000001"/>
    <n v="135.44"/>
    <n v="432.1"/>
    <n v="147.26999999999998"/>
    <n v="155.6"/>
    <n v="298.37"/>
    <n v="137.1"/>
    <n v="142.76999999999998"/>
    <n v="144.80000000000001"/>
    <n v="130.96"/>
    <n v="146.23000000000002"/>
    <n v="154.12000000000003"/>
    <n v="151.78000000000003"/>
    <n v="143"/>
    <n v="152.05000000000001"/>
    <n v="564.95000000000005"/>
    <n v="141.23750000000001"/>
  </r>
  <r>
    <s v="Rural+Urban"/>
    <x v="7"/>
    <x v="3"/>
    <n v="148.69999999999999"/>
    <n v="183.62"/>
    <n v="148.80000000000001"/>
    <n v="155.6"/>
    <n v="135.1"/>
    <n v="149.9"/>
    <n v="168.6"/>
    <n v="150.4"/>
    <n v="120.3"/>
    <n v="157.1"/>
    <n v="136.80000000000001"/>
    <n v="161.79"/>
    <n v="1831.3100000000002"/>
    <n v="151.4"/>
    <n v="179.9"/>
    <n v="610.67000000000007"/>
    <n v="152.69999999999999"/>
    <n v="143.65"/>
    <n v="447.72"/>
    <n v="151.36999999999998"/>
    <n v="155.6"/>
    <n v="303.25"/>
    <n v="144.1"/>
    <n v="147.65"/>
    <n v="150.69999999999999"/>
    <n v="136.09"/>
    <n v="141.55000000000001"/>
    <n v="157.36999999999998"/>
    <n v="152.42000000000002"/>
    <n v="147.61000000000001"/>
    <n v="153.38000000000002"/>
    <n v="585.20999999999992"/>
    <n v="146.30250000000001"/>
  </r>
  <r>
    <s v="Rural"/>
    <x v="7"/>
    <x v="4"/>
    <n v="146.04"/>
    <n v="181.67"/>
    <n v="154.52000000000001"/>
    <n v="153.04"/>
    <n v="139.15"/>
    <n v="144.71"/>
    <n v="178.83"/>
    <n v="149.12"/>
    <n v="114.5"/>
    <n v="158.46"/>
    <n v="143.9"/>
    <n v="161.28"/>
    <n v="1836.2700000000002"/>
    <n v="154.94999999999999"/>
    <n v="178.68"/>
    <n v="626.22"/>
    <n v="154.81"/>
    <n v="149.48999999999998"/>
    <n v="458.37999999999994"/>
    <n v="154.07999999999998"/>
    <m/>
    <n v="152.01000000000002"/>
    <n v="148.13636363636363"/>
    <n v="152.01000000000002"/>
    <n v="158.06363636363633"/>
    <n v="141.80000000000001"/>
    <n v="152.30000000000001"/>
    <n v="161.92000000000002"/>
    <n v="151.34"/>
    <n v="151.92000000000002"/>
    <n v="154.56"/>
    <n v="603.86636363636364"/>
    <n v="150.96659090909091"/>
  </r>
  <r>
    <s v="Urban"/>
    <x v="7"/>
    <x v="4"/>
    <n v="149.80000000000001"/>
    <n v="187.25"/>
    <n v="159.26"/>
    <n v="152.94999999999999"/>
    <n v="132.80000000000001"/>
    <n v="150.28"/>
    <n v="198.63"/>
    <n v="149.80000000000001"/>
    <n v="116.88"/>
    <n v="157.13"/>
    <n v="136.12"/>
    <n v="162.37"/>
    <n v="1875.63"/>
    <n v="158.47999999999999"/>
    <n v="183.31"/>
    <n v="617.44000000000005"/>
    <n v="149.39000000000001"/>
    <n v="135.44"/>
    <n v="432.1"/>
    <n v="147.26999999999998"/>
    <m/>
    <n v="142.76999999999998"/>
    <n v="137.68181818181819"/>
    <n v="142.76999999999998"/>
    <n v="148.07272727272729"/>
    <n v="130.96"/>
    <n v="146.23000000000002"/>
    <n v="154.12000000000003"/>
    <n v="151.78000000000003"/>
    <n v="143"/>
    <n v="152.05000000000001"/>
    <n v="565.53181818181815"/>
    <n v="141.38295454545454"/>
  </r>
  <r>
    <s v="Rural+Urban"/>
    <x v="7"/>
    <x v="4"/>
    <n v="147.25"/>
    <n v="183.62"/>
    <n v="156.36000000000001"/>
    <n v="153"/>
    <n v="136.83000000000001"/>
    <n v="147.31"/>
    <n v="185.55"/>
    <n v="149.35"/>
    <n v="115.3"/>
    <n v="158.02000000000001"/>
    <n v="140.66999999999999"/>
    <n v="161.79"/>
    <n v="1850.6299999999997"/>
    <n v="156.25"/>
    <n v="179.9"/>
    <n v="614.54"/>
    <n v="152.69999999999999"/>
    <n v="143.65"/>
    <n v="447.72"/>
    <n v="151.36999999999998"/>
    <m/>
    <n v="147.65"/>
    <n v="144.16363636363633"/>
    <n v="147.65"/>
    <n v="154.28181818181815"/>
    <n v="136.09"/>
    <n v="141.55000000000001"/>
    <n v="157.36999999999998"/>
    <n v="152.42000000000002"/>
    <n v="147.61000000000001"/>
    <n v="153.38000000000002"/>
    <n v="585.27363636363634"/>
    <n v="146.31840909090909"/>
  </r>
  <r>
    <s v="Rural"/>
    <x v="7"/>
    <x v="5"/>
    <n v="148.19999999999999"/>
    <n v="190.3"/>
    <n v="149.4"/>
    <n v="153.30000000000001"/>
    <n v="138.19999999999999"/>
    <n v="143.19999999999999"/>
    <n v="148.9"/>
    <n v="150.30000000000001"/>
    <n v="113.2"/>
    <n v="159.80000000000001"/>
    <n v="142.1"/>
    <n v="161.80000000000001"/>
    <n v="1808.9"/>
    <n v="152.30000000000001"/>
    <n v="182.4"/>
    <n v="628.9"/>
    <n v="154.69999999999999"/>
    <n v="150"/>
    <n v="458.79999999999995"/>
    <n v="154.1"/>
    <n v="154.69999999999999"/>
    <n v="306.39999999999998"/>
    <n v="144.9"/>
    <n v="151.69999999999999"/>
    <n v="158.19999999999999"/>
    <n v="141.4"/>
    <n v="153.19999999999999"/>
    <n v="161.80000000000001"/>
    <n v="151.19999999999999"/>
    <n v="151.69999999999999"/>
    <n v="152.69999999999999"/>
    <n v="599.79999999999995"/>
    <n v="149.95000000000002"/>
  </r>
  <r>
    <s v="Urban"/>
    <x v="7"/>
    <x v="5"/>
    <n v="152.69999999999999"/>
    <n v="197"/>
    <n v="154.6"/>
    <n v="153.4"/>
    <n v="132.9"/>
    <n v="151.80000000000001"/>
    <n v="171.2"/>
    <n v="152"/>
    <n v="116.3"/>
    <n v="158.80000000000001"/>
    <n v="135.6"/>
    <n v="161.69999999999999"/>
    <n v="1859.4"/>
    <n v="157"/>
    <n v="186.7"/>
    <n v="619"/>
    <n v="149.1"/>
    <n v="136.6"/>
    <n v="432.9"/>
    <n v="147.19999999999999"/>
    <n v="154.69999999999999"/>
    <n v="295.10000000000002"/>
    <n v="137.1"/>
    <n v="140.4"/>
    <n v="148.1"/>
    <n v="129.30000000000001"/>
    <n v="144.5"/>
    <n v="152.5"/>
    <n v="152.19999999999999"/>
    <n v="142"/>
    <n v="150.80000000000001"/>
    <n v="559.29999999999995"/>
    <n v="139.82500000000002"/>
  </r>
  <r>
    <s v="Rural+Urban"/>
    <x v="7"/>
    <x v="5"/>
    <n v="149.6"/>
    <n v="192.7"/>
    <n v="151.4"/>
    <n v="153.30000000000001"/>
    <n v="136.30000000000001"/>
    <n v="147.19999999999999"/>
    <n v="156.5"/>
    <n v="150.9"/>
    <n v="114.2"/>
    <n v="159.5"/>
    <n v="139.4"/>
    <n v="161.80000000000001"/>
    <n v="1827.3999999999999"/>
    <n v="154"/>
    <n v="183.5"/>
    <n v="622.79999999999995"/>
    <n v="152.5"/>
    <n v="144.4"/>
    <n v="448.29999999999995"/>
    <n v="151.4"/>
    <n v="154.69999999999999"/>
    <n v="301.10000000000002"/>
    <n v="141.9"/>
    <n v="146.4"/>
    <n v="154.4"/>
    <n v="135"/>
    <n v="148.30000000000001"/>
    <n v="156.4"/>
    <n v="151.6"/>
    <n v="147"/>
    <n v="151.80000000000001"/>
    <n v="579.69999999999993"/>
    <n v="144.92499999999998"/>
  </r>
  <r>
    <s v="Rural"/>
    <x v="7"/>
    <x v="6"/>
    <n v="148.19999999999999"/>
    <n v="190.3"/>
    <n v="149.4"/>
    <n v="153.30000000000001"/>
    <n v="138.19999999999999"/>
    <n v="143.19999999999999"/>
    <n v="148.9"/>
    <n v="150.30000000000001"/>
    <n v="113.2"/>
    <n v="159.80000000000001"/>
    <n v="142.1"/>
    <n v="161.80000000000001"/>
    <n v="1808.9"/>
    <n v="152.30000000000001"/>
    <n v="182.4"/>
    <n v="628.9"/>
    <n v="154.69999999999999"/>
    <n v="150"/>
    <n v="458.79999999999995"/>
    <n v="154.1"/>
    <n v="154.69999999999999"/>
    <n v="306.39999999999998"/>
    <n v="144.9"/>
    <n v="151.69999999999999"/>
    <n v="158.19999999999999"/>
    <n v="141.4"/>
    <n v="153.19999999999999"/>
    <n v="161.80000000000001"/>
    <n v="151.19999999999999"/>
    <n v="151.69999999999999"/>
    <n v="152.69999999999999"/>
    <n v="599.79999999999995"/>
    <n v="149.95000000000002"/>
  </r>
  <r>
    <s v="Urban"/>
    <x v="7"/>
    <x v="6"/>
    <n v="152.69999999999999"/>
    <n v="197"/>
    <n v="154.6"/>
    <n v="153.4"/>
    <n v="132.9"/>
    <n v="151.80000000000001"/>
    <n v="171.2"/>
    <n v="152"/>
    <n v="116.3"/>
    <n v="158.80000000000001"/>
    <n v="135.6"/>
    <n v="161.69999999999999"/>
    <n v="1859.4"/>
    <n v="157"/>
    <n v="186.7"/>
    <n v="619"/>
    <n v="149.1"/>
    <n v="136.6"/>
    <n v="432.9"/>
    <n v="147.19999999999999"/>
    <n v="154.69999999999999"/>
    <n v="295.10000000000002"/>
    <n v="137.1"/>
    <n v="140.4"/>
    <n v="148.1"/>
    <n v="129.30000000000001"/>
    <n v="144.5"/>
    <n v="152.5"/>
    <n v="152.19999999999999"/>
    <n v="142"/>
    <n v="150.80000000000001"/>
    <n v="559.29999999999995"/>
    <n v="139.82500000000002"/>
  </r>
  <r>
    <s v="Rural+Urban"/>
    <x v="7"/>
    <x v="6"/>
    <n v="149.6"/>
    <n v="192.7"/>
    <n v="151.4"/>
    <n v="153.30000000000001"/>
    <n v="136.30000000000001"/>
    <n v="147.19999999999999"/>
    <n v="156.5"/>
    <n v="150.9"/>
    <n v="114.2"/>
    <n v="159.5"/>
    <n v="139.4"/>
    <n v="161.80000000000001"/>
    <n v="1827.3999999999999"/>
    <n v="154"/>
    <n v="183.5"/>
    <n v="622.79999999999995"/>
    <n v="152.5"/>
    <n v="144.4"/>
    <n v="448.29999999999995"/>
    <n v="151.4"/>
    <n v="154.69999999999999"/>
    <n v="301.10000000000002"/>
    <n v="141.9"/>
    <n v="146.4"/>
    <n v="154.4"/>
    <n v="135"/>
    <n v="148.30000000000001"/>
    <n v="156.4"/>
    <n v="151.6"/>
    <n v="147"/>
    <n v="151.80000000000001"/>
    <n v="579.69999999999993"/>
    <n v="144.92499999999998"/>
  </r>
  <r>
    <s v="Rural"/>
    <x v="7"/>
    <x v="7"/>
    <n v="147.6"/>
    <n v="187.2"/>
    <n v="148.4"/>
    <n v="153.30000000000001"/>
    <n v="139.80000000000001"/>
    <n v="146.9"/>
    <n v="171"/>
    <n v="149.9"/>
    <n v="114.2"/>
    <n v="160"/>
    <n v="143.5"/>
    <n v="161.5"/>
    <n v="1835.1"/>
    <n v="155.30000000000001"/>
    <n v="180.9"/>
    <n v="630.19999999999993"/>
    <n v="155.1"/>
    <n v="149.30000000000001"/>
    <n v="458.7"/>
    <n v="154.30000000000001"/>
    <n v="155.5"/>
    <n v="307.39999999999998"/>
    <n v="145.80000000000001"/>
    <n v="151.9"/>
    <n v="158.80000000000001"/>
    <n v="143.6"/>
    <n v="152.19999999999999"/>
    <n v="162.69999999999999"/>
    <n v="153.6"/>
    <n v="153"/>
    <n v="154.69999999999999"/>
    <n v="604"/>
    <n v="151"/>
  </r>
  <r>
    <s v="Urban"/>
    <x v="7"/>
    <x v="7"/>
    <n v="151.6"/>
    <n v="197.8"/>
    <n v="154.5"/>
    <n v="153.4"/>
    <n v="133.4"/>
    <n v="154.5"/>
    <n v="191.9"/>
    <n v="151.30000000000001"/>
    <n v="116.8"/>
    <n v="160"/>
    <n v="136.5"/>
    <n v="163.30000000000001"/>
    <n v="1888.4"/>
    <n v="159.9"/>
    <n v="187.2"/>
    <n v="620.09999999999991"/>
    <n v="150"/>
    <n v="135.19999999999999"/>
    <n v="433"/>
    <n v="147.80000000000001"/>
    <n v="155.5"/>
    <n v="300"/>
    <n v="138.30000000000001"/>
    <n v="144.5"/>
    <n v="148.69999999999999"/>
    <n v="133.9"/>
    <n v="141.19999999999999"/>
    <n v="155.5"/>
    <n v="155.19999999999999"/>
    <n v="144.80000000000001"/>
    <n v="152.9"/>
    <n v="572.20000000000005"/>
    <n v="143.05000000000001"/>
  </r>
  <r>
    <s v="Rural+Urban"/>
    <x v="7"/>
    <x v="7"/>
    <n v="148.9"/>
    <n v="190.9"/>
    <n v="150.80000000000001"/>
    <n v="153.30000000000001"/>
    <n v="137.4"/>
    <n v="150.4"/>
    <n v="178.1"/>
    <n v="150.4"/>
    <n v="115.1"/>
    <n v="160"/>
    <n v="140.6"/>
    <n v="162.30000000000001"/>
    <n v="1854.6000000000001"/>
    <n v="157"/>
    <n v="182.6"/>
    <n v="623.5"/>
    <n v="153.1"/>
    <n v="143.4"/>
    <n v="448.2"/>
    <n v="151.69999999999999"/>
    <n v="155.5"/>
    <n v="303.89999999999998"/>
    <n v="143"/>
    <n v="148.4"/>
    <n v="155"/>
    <n v="138.5"/>
    <n v="146"/>
    <n v="158.5"/>
    <n v="154.30000000000001"/>
    <n v="149"/>
    <n v="153.9"/>
    <n v="588.4"/>
    <n v="147.1"/>
  </r>
  <r>
    <s v="Rural"/>
    <x v="7"/>
    <x v="8"/>
    <n v="146.9"/>
    <n v="183.9"/>
    <n v="149.5"/>
    <n v="153.4"/>
    <n v="140.4"/>
    <n v="147"/>
    <n v="178.8"/>
    <n v="149.30000000000001"/>
    <n v="115.1"/>
    <n v="160"/>
    <n v="145.4"/>
    <n v="161.6"/>
    <n v="1842.0000000000002"/>
    <n v="156.1"/>
    <n v="182.9"/>
    <n v="638.5"/>
    <n v="155.4"/>
    <n v="149.9"/>
    <n v="459.9"/>
    <n v="154.6"/>
    <n v="156.30000000000001"/>
    <n v="307.89999999999998"/>
    <n v="146.4"/>
    <n v="151.6"/>
    <n v="159.1"/>
    <n v="144.6"/>
    <n v="152.80000000000001"/>
    <n v="161.1"/>
    <n v="157.4"/>
    <n v="153.69999999999999"/>
    <n v="155.4"/>
    <n v="603.70000000000005"/>
    <n v="150.92499999999998"/>
  </r>
  <r>
    <s v="Urban"/>
    <x v="7"/>
    <x v="8"/>
    <n v="151.5"/>
    <n v="193.1"/>
    <n v="157.30000000000001"/>
    <n v="153.9"/>
    <n v="134.4"/>
    <n v="155.4"/>
    <n v="202"/>
    <n v="150.80000000000001"/>
    <n v="118.9"/>
    <n v="160.9"/>
    <n v="137.69999999999999"/>
    <n v="164.4"/>
    <n v="1903.8999999999999"/>
    <n v="161.30000000000001"/>
    <n v="188.7"/>
    <n v="628"/>
    <n v="150.19999999999999"/>
    <n v="136.30000000000001"/>
    <n v="434.6"/>
    <n v="148.1"/>
    <n v="156.30000000000001"/>
    <n v="301.70000000000005"/>
    <n v="137.19999999999999"/>
    <n v="145.4"/>
    <n v="150"/>
    <n v="135.1"/>
    <n v="141.80000000000001"/>
    <n v="154.9"/>
    <n v="159.80000000000001"/>
    <n v="146"/>
    <n v="154"/>
    <n v="572.6"/>
    <n v="143.14999999999998"/>
  </r>
  <r>
    <s v="Rural+Urban"/>
    <x v="7"/>
    <x v="8"/>
    <n v="148.4"/>
    <n v="187.1"/>
    <n v="152.5"/>
    <n v="153.6"/>
    <n v="138.19999999999999"/>
    <n v="150.9"/>
    <n v="186.7"/>
    <n v="149.80000000000001"/>
    <n v="116.4"/>
    <n v="160.30000000000001"/>
    <n v="142.19999999999999"/>
    <n v="162.9"/>
    <n v="1864.8"/>
    <n v="158"/>
    <n v="184.4"/>
    <n v="631.6"/>
    <n v="153.4"/>
    <n v="144.30000000000001"/>
    <n v="449.70000000000005"/>
    <n v="152"/>
    <n v="156.30000000000001"/>
    <n v="305"/>
    <n v="142.9"/>
    <n v="148.69999999999999"/>
    <n v="155.6"/>
    <n v="139.6"/>
    <n v="146.6"/>
    <n v="157.5"/>
    <n v="158.4"/>
    <n v="150"/>
    <n v="154.69999999999999"/>
    <n v="588.70000000000005"/>
    <n v="147.17500000000001"/>
  </r>
  <r>
    <s v="Rural"/>
    <x v="7"/>
    <x v="9"/>
    <n v="146"/>
    <n v="186.3"/>
    <n v="159.19999999999999"/>
    <n v="153.6"/>
    <n v="142.6"/>
    <n v="147.19999999999999"/>
    <n v="200.6"/>
    <n v="150.30000000000001"/>
    <n v="115.3"/>
    <n v="160.9"/>
    <n v="147.4"/>
    <n v="161.9"/>
    <n v="1883.4999999999998"/>
    <n v="159.6"/>
    <n v="182.7"/>
    <n v="638.70000000000005"/>
    <n v="155.69999999999999"/>
    <n v="150.6"/>
    <n v="461.29999999999995"/>
    <n v="155"/>
    <n v="156.5"/>
    <n v="308.5"/>
    <n v="146.80000000000001"/>
    <n v="152"/>
    <n v="159.5"/>
    <n v="146.4"/>
    <n v="152.4"/>
    <n v="162.5"/>
    <n v="156.19999999999999"/>
    <n v="154.30000000000001"/>
    <n v="157.5"/>
    <n v="607.70000000000005"/>
    <n v="151.92500000000001"/>
  </r>
  <r>
    <s v="Urban"/>
    <x v="7"/>
    <x v="9"/>
    <n v="150.6"/>
    <n v="193.7"/>
    <n v="164.8"/>
    <n v="153.69999999999999"/>
    <n v="135.69999999999999"/>
    <n v="155.69999999999999"/>
    <n v="226"/>
    <n v="152.19999999999999"/>
    <n v="118.1"/>
    <n v="161.30000000000001"/>
    <n v="139.19999999999999"/>
    <n v="164.8"/>
    <n v="1941.0000000000002"/>
    <n v="164.4"/>
    <n v="188.7"/>
    <n v="628"/>
    <n v="150.5"/>
    <n v="136.1"/>
    <n v="434.90000000000003"/>
    <n v="148.30000000000001"/>
    <n v="156.5"/>
    <n v="301.60000000000002"/>
    <n v="137.1"/>
    <n v="145.1"/>
    <n v="151"/>
    <n v="135.4"/>
    <n v="142"/>
    <n v="155.69999999999999"/>
    <n v="158.1"/>
    <n v="146.19999999999999"/>
    <n v="155.19999999999999"/>
    <n v="573.30000000000007"/>
    <n v="143.32500000000002"/>
  </r>
  <r>
    <s v="Rural+Urban"/>
    <x v="7"/>
    <x v="9"/>
    <n v="147.5"/>
    <n v="188.9"/>
    <n v="161.4"/>
    <n v="153.6"/>
    <n v="140.1"/>
    <n v="151.19999999999999"/>
    <n v="209.2"/>
    <n v="150.9"/>
    <n v="116.2"/>
    <n v="161"/>
    <n v="144"/>
    <n v="163.19999999999999"/>
    <n v="1904.6000000000001"/>
    <n v="161.4"/>
    <n v="184.3"/>
    <n v="631.79999999999995"/>
    <n v="153.69999999999999"/>
    <n v="144.6"/>
    <n v="450.59999999999997"/>
    <n v="152.30000000000001"/>
    <n v="156.5"/>
    <n v="305.2"/>
    <n v="143.1"/>
    <n v="148.69999999999999"/>
    <n v="156.30000000000001"/>
    <n v="140.6"/>
    <n v="146.5"/>
    <n v="158.5"/>
    <n v="157"/>
    <n v="150.4"/>
    <n v="156.4"/>
    <n v="590.90000000000009"/>
    <n v="147.72499999999999"/>
  </r>
  <r>
    <s v="Rural"/>
    <x v="7"/>
    <x v="10"/>
    <n v="145.4"/>
    <n v="188.6"/>
    <n v="171.6"/>
    <n v="153.80000000000001"/>
    <n v="145.4"/>
    <n v="146.5"/>
    <n v="222.2"/>
    <n v="155.9"/>
    <n v="114.9"/>
    <n v="162"/>
    <n v="150"/>
    <n v="162.69999999999999"/>
    <n v="1932.4"/>
    <n v="163.4"/>
    <n v="183.4"/>
    <n v="643.20000000000005"/>
    <n v="156.30000000000001"/>
    <n v="151"/>
    <n v="462.8"/>
    <n v="155.5"/>
    <n v="158"/>
    <n v="310.8"/>
    <n v="147.5"/>
    <n v="152.80000000000001"/>
    <n v="160.4"/>
    <n v="146.1"/>
    <n v="153.6"/>
    <n v="161.6"/>
    <n v="156.19999999999999"/>
    <n v="154.5"/>
    <n v="159.80000000000001"/>
    <n v="608"/>
    <n v="152"/>
  </r>
  <r>
    <s v="Urban"/>
    <x v="7"/>
    <x v="10"/>
    <n v="149.69999999999999"/>
    <n v="195.5"/>
    <n v="176.9"/>
    <n v="153.9"/>
    <n v="138"/>
    <n v="150.5"/>
    <n v="245.3"/>
    <n v="158.69999999999999"/>
    <n v="117.2"/>
    <n v="161.4"/>
    <n v="141.5"/>
    <n v="165.1"/>
    <n v="1979.2000000000003"/>
    <n v="167"/>
    <n v="188.8"/>
    <n v="632.6"/>
    <n v="151.1"/>
    <n v="136.4"/>
    <n v="436.3"/>
    <n v="148.80000000000001"/>
    <n v="158"/>
    <n v="303.10000000000002"/>
    <n v="137.30000000000001"/>
    <n v="145.1"/>
    <n v="152"/>
    <n v="135.19999999999999"/>
    <n v="144.4"/>
    <n v="156.4"/>
    <n v="157.9"/>
    <n v="146.6"/>
    <n v="156.69999999999999"/>
    <n v="574"/>
    <n v="143.5"/>
  </r>
  <r>
    <s v="Rural+Urban"/>
    <x v="7"/>
    <x v="10"/>
    <n v="146.80000000000001"/>
    <n v="191"/>
    <n v="173.6"/>
    <n v="153.80000000000001"/>
    <n v="142.69999999999999"/>
    <n v="148.4"/>
    <n v="230"/>
    <n v="156.80000000000001"/>
    <n v="115.7"/>
    <n v="161.80000000000001"/>
    <n v="146.5"/>
    <n v="163.80000000000001"/>
    <n v="1949.1"/>
    <n v="164.7"/>
    <n v="184.8"/>
    <n v="636.6"/>
    <n v="154.30000000000001"/>
    <n v="144.9"/>
    <n v="452.00000000000006"/>
    <n v="152.80000000000001"/>
    <n v="158"/>
    <n v="307.2"/>
    <n v="143.6"/>
    <n v="149.19999999999999"/>
    <n v="157.19999999999999"/>
    <n v="140.4"/>
    <n v="148.4"/>
    <n v="158.6"/>
    <n v="156.9"/>
    <n v="150.69999999999999"/>
    <n v="158.4"/>
    <n v="591.79999999999995"/>
    <n v="147.94999999999999"/>
  </r>
  <r>
    <s v="Rural"/>
    <x v="7"/>
    <x v="11"/>
    <n v="144.6"/>
    <n v="188.5"/>
    <n v="173.4"/>
    <n v="154"/>
    <n v="150"/>
    <n v="145.9"/>
    <n v="225.2"/>
    <n v="159.5"/>
    <n v="114.4"/>
    <n v="163.5"/>
    <n v="153.4"/>
    <n v="163.6"/>
    <n v="1947.1"/>
    <n v="164.5"/>
    <n v="183.6"/>
    <n v="647.5"/>
    <n v="157"/>
    <n v="151.6"/>
    <n v="464.90000000000003"/>
    <n v="156.30000000000001"/>
    <n v="158.4"/>
    <n v="311.8"/>
    <n v="148.69999999999999"/>
    <n v="153.4"/>
    <n v="161.6"/>
    <n v="146.4"/>
    <n v="153.9"/>
    <n v="162.9"/>
    <n v="156.6"/>
    <n v="155.19999999999999"/>
    <n v="160.69999999999999"/>
    <n v="611.4"/>
    <n v="152.85000000000002"/>
  </r>
  <r>
    <s v="Urban"/>
    <x v="7"/>
    <x v="11"/>
    <n v="149"/>
    <n v="195.7"/>
    <n v="178.3"/>
    <n v="154.19999999999999"/>
    <n v="140.69999999999999"/>
    <n v="149.69999999999999"/>
    <n v="240.9"/>
    <n v="161.5"/>
    <n v="117.1"/>
    <n v="161.9"/>
    <n v="143.30000000000001"/>
    <n v="166.1"/>
    <n v="1982.1000000000001"/>
    <n v="167"/>
    <n v="190.2"/>
    <n v="635.70000000000005"/>
    <n v="151.9"/>
    <n v="136.69999999999999"/>
    <n v="438.20000000000005"/>
    <n v="149.6"/>
    <n v="158.4"/>
    <n v="303.89999999999998"/>
    <n v="137.9"/>
    <n v="145.5"/>
    <n v="152.9"/>
    <n v="135.5"/>
    <n v="144.30000000000001"/>
    <n v="156.9"/>
    <n v="157.9"/>
    <n v="146.9"/>
    <n v="156.9"/>
    <n v="575.79999999999995"/>
    <n v="143.94999999999999"/>
  </r>
  <r>
    <s v="Rural+Urban"/>
    <x v="7"/>
    <x v="11"/>
    <n v="146"/>
    <n v="191"/>
    <n v="175.3"/>
    <n v="154.1"/>
    <n v="146.6"/>
    <n v="147.69999999999999"/>
    <n v="230.5"/>
    <n v="160.19999999999999"/>
    <n v="115.3"/>
    <n v="163"/>
    <n v="149.19999999999999"/>
    <n v="164.8"/>
    <n v="1959.8999999999999"/>
    <n v="165.4"/>
    <n v="185.4"/>
    <n v="640.20000000000005"/>
    <n v="155"/>
    <n v="145.4"/>
    <n v="454"/>
    <n v="153.6"/>
    <n v="158.4"/>
    <n v="308.10000000000002"/>
    <n v="144.6"/>
    <n v="149.69999999999999"/>
    <n v="158.30000000000001"/>
    <n v="140.69999999999999"/>
    <n v="148.5"/>
    <n v="159.4"/>
    <n v="157.1"/>
    <n v="151.19999999999999"/>
    <n v="158.9"/>
    <n v="594.40000000000009"/>
    <n v="148.6"/>
  </r>
  <r>
    <s v="Rural"/>
    <x v="8"/>
    <x v="0"/>
    <n v="143.4"/>
    <n v="187.5"/>
    <n v="173.4"/>
    <n v="154"/>
    <n v="154.80000000000001"/>
    <n v="147"/>
    <n v="187.8"/>
    <n v="159.5"/>
    <n v="113.8"/>
    <n v="164.5"/>
    <n v="156.1"/>
    <n v="164.3"/>
    <n v="1909.6000000000001"/>
    <n v="159.6"/>
    <n v="184.6"/>
    <n v="652"/>
    <n v="157.5"/>
    <n v="152.4"/>
    <n v="466.7"/>
    <n v="156.80000000000001"/>
    <n v="157.69999999999999"/>
    <n v="311.60000000000002"/>
    <n v="150.9"/>
    <n v="153.9"/>
    <n v="162.5"/>
    <n v="147.5"/>
    <n v="155.1"/>
    <n v="163.5"/>
    <n v="156.19999999999999"/>
    <n v="155.9"/>
    <n v="158.5"/>
    <n v="615.79999999999995"/>
    <n v="153.94999999999999"/>
  </r>
  <r>
    <s v="Urban"/>
    <x v="8"/>
    <x v="0"/>
    <n v="148"/>
    <n v="194.8"/>
    <n v="178.4"/>
    <n v="154.4"/>
    <n v="144.1"/>
    <n v="152.6"/>
    <n v="206.8"/>
    <n v="162.1"/>
    <n v="116.3"/>
    <n v="163"/>
    <n v="145.9"/>
    <n v="167.2"/>
    <n v="1951.1000000000004"/>
    <n v="163.4"/>
    <n v="191.8"/>
    <n v="640.79999999999995"/>
    <n v="152.5"/>
    <n v="137.30000000000001"/>
    <n v="440"/>
    <n v="150.19999999999999"/>
    <n v="157.69999999999999"/>
    <n v="303.39999999999998"/>
    <n v="142.9"/>
    <n v="145.69999999999999"/>
    <n v="154.1"/>
    <n v="136.9"/>
    <n v="145.4"/>
    <n v="156.1"/>
    <n v="157.69999999999999"/>
    <n v="147.6"/>
    <n v="156"/>
    <n v="581.59999999999991"/>
    <n v="145.4"/>
  </r>
  <r>
    <s v="Rural+Urban"/>
    <x v="8"/>
    <x v="0"/>
    <n v="144.9"/>
    <n v="190.1"/>
    <n v="175.3"/>
    <n v="154.1"/>
    <n v="150.9"/>
    <n v="149.6"/>
    <n v="194.2"/>
    <n v="160.4"/>
    <n v="114.6"/>
    <n v="164"/>
    <n v="151.80000000000001"/>
    <n v="165.6"/>
    <n v="1924.6999999999998"/>
    <n v="161"/>
    <n v="186.5"/>
    <n v="644.70000000000005"/>
    <n v="155.5"/>
    <n v="146.1"/>
    <n v="455.8"/>
    <n v="154.19999999999999"/>
    <n v="157.69999999999999"/>
    <n v="307.7"/>
    <n v="147.9"/>
    <n v="150"/>
    <n v="159.30000000000001"/>
    <n v="141.9"/>
    <n v="149.6"/>
    <n v="159.19999999999999"/>
    <n v="156.80000000000001"/>
    <n v="151.9"/>
    <n v="157.30000000000001"/>
    <n v="599"/>
    <n v="149.75"/>
  </r>
  <r>
    <s v="Rural"/>
    <x v="8"/>
    <x v="1"/>
    <n v="142.80000000000001"/>
    <n v="184"/>
    <n v="168"/>
    <n v="154.4"/>
    <n v="163"/>
    <n v="147.80000000000001"/>
    <n v="149.69999999999999"/>
    <n v="158.30000000000001"/>
    <n v="111.8"/>
    <n v="165"/>
    <n v="160"/>
    <n v="165.8"/>
    <n v="1865.3000000000002"/>
    <n v="154.69999999999999"/>
    <n v="186.5"/>
    <n v="658.7"/>
    <n v="159.1"/>
    <n v="153.9"/>
    <n v="471.4"/>
    <n v="158.4"/>
    <n v="159.80000000000001"/>
    <n v="314.60000000000002"/>
    <n v="154.4"/>
    <n v="154.80000000000001"/>
    <n v="164.3"/>
    <n v="150.19999999999999"/>
    <n v="157"/>
    <n v="163.6"/>
    <n v="155.19999999999999"/>
    <n v="157.19999999999999"/>
    <n v="156.69999999999999"/>
    <n v="623"/>
    <n v="155.75"/>
  </r>
  <r>
    <s v="Urban"/>
    <x v="8"/>
    <x v="1"/>
    <n v="147.6"/>
    <n v="191.2"/>
    <n v="169.9"/>
    <n v="155.1"/>
    <n v="151.4"/>
    <n v="154"/>
    <n v="180.2"/>
    <n v="159.80000000000001"/>
    <n v="114.9"/>
    <n v="162.5"/>
    <n v="149.19999999999999"/>
    <n v="169.4"/>
    <n v="1916.8"/>
    <n v="160.80000000000001"/>
    <n v="193.3"/>
    <n v="646.5"/>
    <n v="154.19999999999999"/>
    <n v="138.19999999999999"/>
    <n v="444.2"/>
    <n v="151.80000000000001"/>
    <n v="159.80000000000001"/>
    <n v="306.3"/>
    <n v="149.1"/>
    <n v="146.5"/>
    <n v="156.30000000000001"/>
    <n v="140.5"/>
    <n v="147.30000000000001"/>
    <n v="156.6"/>
    <n v="156.69999999999999"/>
    <n v="149.30000000000001"/>
    <n v="156.5"/>
    <n v="592.70000000000005"/>
    <n v="148.17500000000001"/>
  </r>
  <r>
    <s v="Rural+Urban"/>
    <x v="8"/>
    <x v="1"/>
    <n v="144.30000000000001"/>
    <n v="186.5"/>
    <n v="168.7"/>
    <n v="154.69999999999999"/>
    <n v="158.69999999999999"/>
    <n v="150.69999999999999"/>
    <n v="160"/>
    <n v="158.80000000000001"/>
    <n v="112.8"/>
    <n v="164.2"/>
    <n v="155.5"/>
    <n v="167.5"/>
    <n v="1883.8000000000002"/>
    <n v="156.9"/>
    <n v="188.3"/>
    <n v="651.1"/>
    <n v="157.19999999999999"/>
    <n v="147.4"/>
    <n v="460.40000000000003"/>
    <n v="155.80000000000001"/>
    <n v="159.80000000000001"/>
    <n v="310.70000000000005"/>
    <n v="152.4"/>
    <n v="150.9"/>
    <n v="161.30000000000001"/>
    <n v="145.1"/>
    <n v="151.5"/>
    <n v="159.5"/>
    <n v="155.80000000000001"/>
    <n v="153.4"/>
    <n v="156.6"/>
    <n v="607.9"/>
    <n v="151.97499999999999"/>
  </r>
  <r>
    <s v="Rural"/>
    <x v="8"/>
    <x v="2"/>
    <n v="142.5"/>
    <n v="189.4"/>
    <n v="163.19999999999999"/>
    <n v="154.5"/>
    <n v="168.2"/>
    <n v="150.5"/>
    <n v="141"/>
    <n v="159.19999999999999"/>
    <n v="111.7"/>
    <n v="164"/>
    <n v="160.6"/>
    <n v="166.4"/>
    <n v="1865.1000000000001"/>
    <n v="154.5"/>
    <n v="186.1"/>
    <n v="657.6"/>
    <n v="159.6"/>
    <n v="154.4"/>
    <n v="472.9"/>
    <n v="158.9"/>
    <n v="159.9"/>
    <n v="314.70000000000005"/>
    <n v="156"/>
    <n v="154.80000000000001"/>
    <n v="164.6"/>
    <n v="151.30000000000001"/>
    <n v="157.80000000000001"/>
    <n v="163.80000000000001"/>
    <n v="153.1"/>
    <n v="157.30000000000001"/>
    <n v="156.69999999999999"/>
    <n v="625.90000000000009"/>
    <n v="156.47500000000002"/>
  </r>
  <r>
    <s v="Urban"/>
    <x v="8"/>
    <x v="2"/>
    <n v="147.5"/>
    <n v="197.5"/>
    <n v="164.7"/>
    <n v="155.6"/>
    <n v="156.4"/>
    <n v="157.30000000000001"/>
    <n v="166.1"/>
    <n v="161.1"/>
    <n v="114.3"/>
    <n v="162.6"/>
    <n v="150.69999999999999"/>
    <n v="170.3"/>
    <n v="1913.8000000000002"/>
    <n v="160.4"/>
    <n v="193.5"/>
    <n v="647.69999999999993"/>
    <n v="155.1"/>
    <n v="138.69999999999999"/>
    <n v="446.4"/>
    <n v="152.6"/>
    <n v="159.9"/>
    <n v="307.10000000000002"/>
    <n v="154.80000000000001"/>
    <n v="147.19999999999999"/>
    <n v="156.9"/>
    <n v="141.69999999999999"/>
    <n v="148.6"/>
    <n v="157.6"/>
    <n v="154.9"/>
    <n v="150"/>
    <n v="156.9"/>
    <n v="601.29999999999995"/>
    <n v="150.32499999999999"/>
  </r>
  <r>
    <s v="Rural+Urban"/>
    <x v="8"/>
    <x v="2"/>
    <n v="144.1"/>
    <n v="192.2"/>
    <n v="163.80000000000001"/>
    <n v="154.9"/>
    <n v="163.9"/>
    <n v="153.69999999999999"/>
    <n v="149.5"/>
    <n v="159.80000000000001"/>
    <n v="112.6"/>
    <n v="163.5"/>
    <n v="156.5"/>
    <n v="168.2"/>
    <n v="1882.9"/>
    <n v="156.69999999999999"/>
    <n v="188.1"/>
    <n v="651"/>
    <n v="157.80000000000001"/>
    <n v="147.9"/>
    <n v="462.1"/>
    <n v="156.4"/>
    <n v="159.9"/>
    <n v="311.10000000000002"/>
    <n v="155.5"/>
    <n v="151.19999999999999"/>
    <n v="161.69999999999999"/>
    <n v="146.19999999999999"/>
    <n v="152.6"/>
    <n v="160.19999999999999"/>
    <n v="153.80000000000001"/>
    <n v="153.80000000000001"/>
    <n v="156.80000000000001"/>
    <n v="613.09999999999991"/>
    <n v="153.27499999999998"/>
  </r>
  <r>
    <s v="Rural"/>
    <x v="8"/>
    <x v="3"/>
    <n v="142.69999999999999"/>
    <n v="195.5"/>
    <n v="163.4"/>
    <n v="155"/>
    <n v="175.2"/>
    <n v="160.6"/>
    <n v="135.1"/>
    <n v="161.1"/>
    <n v="112.2"/>
    <n v="164.4"/>
    <n v="161.9"/>
    <n v="166.8"/>
    <n v="1887.6000000000001"/>
    <n v="155.6"/>
    <n v="186.8"/>
    <n v="661.90000000000009"/>
    <n v="160.69999999999999"/>
    <n v="155.1"/>
    <n v="475.69999999999993"/>
    <n v="159.9"/>
    <n v="161.4"/>
    <n v="316.89999999999998"/>
    <n v="156"/>
    <n v="155.5"/>
    <n v="165.3"/>
    <n v="151.69999999999999"/>
    <n v="158.6"/>
    <n v="164.1"/>
    <n v="154.6"/>
    <n v="158"/>
    <n v="157.6"/>
    <n v="627.29999999999995"/>
    <n v="156.82499999999999"/>
  </r>
  <r>
    <s v="Urban"/>
    <x v="8"/>
    <x v="3"/>
    <n v="147.6"/>
    <n v="202.5"/>
    <n v="166.4"/>
    <n v="156"/>
    <n v="161.4"/>
    <n v="168.8"/>
    <n v="161.6"/>
    <n v="162.80000000000001"/>
    <n v="114.8"/>
    <n v="162.80000000000001"/>
    <n v="151.5"/>
    <n v="171.4"/>
    <n v="1938.1000000000001"/>
    <n v="162"/>
    <n v="194.4"/>
    <n v="651.6"/>
    <n v="155.9"/>
    <n v="139.30000000000001"/>
    <n v="448.6"/>
    <n v="153.4"/>
    <n v="161.4"/>
    <n v="309"/>
    <n v="154.9"/>
    <n v="147.6"/>
    <n v="157.5"/>
    <n v="142.1"/>
    <n v="149.1"/>
    <n v="157.6"/>
    <n v="156.6"/>
    <n v="150.5"/>
    <n v="158"/>
    <n v="602.20000000000005"/>
    <n v="150.54999999999998"/>
  </r>
  <r>
    <s v="Rural+Urban"/>
    <x v="8"/>
    <x v="3"/>
    <n v="144.30000000000001"/>
    <n v="198"/>
    <n v="164.6"/>
    <n v="155.4"/>
    <n v="170.1"/>
    <n v="164.4"/>
    <n v="144.1"/>
    <n v="161.69999999999999"/>
    <n v="113.1"/>
    <n v="163.9"/>
    <n v="157.6"/>
    <n v="168.9"/>
    <n v="1906.4999999999998"/>
    <n v="158"/>
    <n v="188.8"/>
    <n v="655"/>
    <n v="158.80000000000001"/>
    <n v="148.5"/>
    <n v="464.6"/>
    <n v="157.30000000000001"/>
    <n v="161.4"/>
    <n v="313.20000000000005"/>
    <n v="155.6"/>
    <n v="151.80000000000001"/>
    <n v="162.30000000000001"/>
    <n v="146.6"/>
    <n v="153.19999999999999"/>
    <n v="160.30000000000001"/>
    <n v="155.4"/>
    <n v="154.4"/>
    <n v="157.80000000000001"/>
    <n v="614.29999999999995"/>
    <n v="153.57499999999999"/>
  </r>
  <r>
    <s v="Rural"/>
    <x v="8"/>
    <x v="4"/>
    <n v="145.1"/>
    <n v="198.5"/>
    <n v="168.6"/>
    <n v="155.80000000000001"/>
    <n v="184.4"/>
    <n v="162.30000000000001"/>
    <n v="138.4"/>
    <n v="165.1"/>
    <n v="114.3"/>
    <n v="169.7"/>
    <n v="164.6"/>
    <n v="169.8"/>
    <n v="1930.6999999999998"/>
    <n v="158.69999999999999"/>
    <n v="189.6"/>
    <n v="673.5"/>
    <n v="165.3"/>
    <n v="160.6"/>
    <n v="490.4"/>
    <n v="164.5"/>
    <n v="161.6"/>
    <n v="320.39999999999998"/>
    <n v="161.69999999999999"/>
    <n v="158.80000000000001"/>
    <n v="169.1"/>
    <n v="153.19999999999999"/>
    <n v="160"/>
    <n v="167.6"/>
    <n v="159.30000000000001"/>
    <n v="161.1"/>
    <n v="161.1"/>
    <n v="641.29999999999995"/>
    <n v="160.32499999999999"/>
  </r>
  <r>
    <s v="Urban"/>
    <x v="8"/>
    <x v="4"/>
    <n v="148.80000000000001"/>
    <n v="204.3"/>
    <n v="173"/>
    <n v="156.5"/>
    <n v="168.8"/>
    <n v="172.5"/>
    <n v="166.5"/>
    <n v="165.9"/>
    <n v="115.9"/>
    <n v="165.2"/>
    <n v="152"/>
    <n v="171.1"/>
    <n v="1972.6999999999998"/>
    <n v="164.2"/>
    <n v="198.2"/>
    <n v="660.3"/>
    <n v="156.5"/>
    <n v="140.19999999999999"/>
    <n v="450.79999999999995"/>
    <n v="154.1"/>
    <n v="161.6"/>
    <n v="311.7"/>
    <n v="155.5"/>
    <n v="150.1"/>
    <n v="160.4"/>
    <n v="145"/>
    <n v="152.6"/>
    <n v="156.6"/>
    <n v="157.5"/>
    <n v="152.30000000000001"/>
    <n v="159.5"/>
    <n v="607.20000000000005"/>
    <n v="151.80000000000001"/>
  </r>
  <r>
    <s v="Rural+Urban"/>
    <x v="8"/>
    <x v="4"/>
    <n v="146.30000000000001"/>
    <n v="200.5"/>
    <n v="170.3"/>
    <n v="156.1"/>
    <n v="178.7"/>
    <n v="167.1"/>
    <n v="147.9"/>
    <n v="165.4"/>
    <n v="114.8"/>
    <n v="168.2"/>
    <n v="159.30000000000001"/>
    <n v="170.4"/>
    <n v="1946.3999999999999"/>
    <n v="160.69999999999999"/>
    <n v="191.9"/>
    <n v="665.6"/>
    <n v="161.80000000000001"/>
    <n v="152.1"/>
    <n v="474.29999999999995"/>
    <n v="160.4"/>
    <n v="161.6"/>
    <n v="316.29999999999995"/>
    <n v="159.4"/>
    <n v="154.69999999999999"/>
    <n v="165.8"/>
    <n v="148.9"/>
    <n v="155.80000000000001"/>
    <n v="161.19999999999999"/>
    <n v="158.6"/>
    <n v="156.80000000000001"/>
    <n v="160.4"/>
    <n v="624.20000000000005"/>
    <n v="156.05000000000001"/>
  </r>
  <r>
    <s v="Rural"/>
    <x v="8"/>
    <x v="5"/>
    <n v="145.6"/>
    <n v="200.1"/>
    <n v="179.3"/>
    <n v="156.1"/>
    <n v="190.4"/>
    <n v="158.6"/>
    <n v="144.69999999999999"/>
    <n v="165.5"/>
    <n v="114.6"/>
    <n v="170"/>
    <n v="165.5"/>
    <n v="171.7"/>
    <n v="1957.0999999999997"/>
    <n v="160.5"/>
    <n v="189.1"/>
    <n v="674.4"/>
    <n v="165.3"/>
    <n v="159.9"/>
    <n v="489.80000000000007"/>
    <n v="164.6"/>
    <n v="160.5"/>
    <n v="319.7"/>
    <n v="162.1"/>
    <n v="159.19999999999999"/>
    <n v="169.7"/>
    <n v="154.19999999999999"/>
    <n v="160.4"/>
    <n v="166.8"/>
    <n v="159.4"/>
    <n v="161.5"/>
    <n v="162.1"/>
    <n v="642.29999999999995"/>
    <n v="160.57499999999999"/>
  </r>
  <r>
    <s v="Urban"/>
    <x v="8"/>
    <x v="5"/>
    <n v="149.19999999999999"/>
    <n v="205.5"/>
    <n v="182.8"/>
    <n v="156.5"/>
    <n v="172.2"/>
    <n v="171.5"/>
    <n v="176.2"/>
    <n v="166.9"/>
    <n v="116.1"/>
    <n v="165.5"/>
    <n v="152.30000000000001"/>
    <n v="173.3"/>
    <n v="2001.9"/>
    <n v="166.2"/>
    <n v="195.6"/>
    <n v="656.59999999999991"/>
    <n v="157.30000000000001"/>
    <n v="140.5"/>
    <n v="452.6"/>
    <n v="154.80000000000001"/>
    <n v="160.5"/>
    <n v="310.3"/>
    <n v="156.1"/>
    <n v="149.80000000000001"/>
    <n v="160.80000000000001"/>
    <n v="147.5"/>
    <n v="150.69999999999999"/>
    <n v="158.1"/>
    <n v="158"/>
    <n v="153.4"/>
    <n v="160.4"/>
    <n v="611.5"/>
    <n v="152.875"/>
  </r>
  <r>
    <s v="Rural+Urban"/>
    <x v="8"/>
    <x v="5"/>
    <n v="146.69999999999999"/>
    <n v="202"/>
    <n v="180.7"/>
    <n v="156.19999999999999"/>
    <n v="183.7"/>
    <n v="164.6"/>
    <n v="155.4"/>
    <n v="166"/>
    <n v="115.1"/>
    <n v="168.5"/>
    <n v="160"/>
    <n v="172.4"/>
    <n v="1973.9"/>
    <n v="162.6"/>
    <n v="190.8"/>
    <n v="664.5"/>
    <n v="162.19999999999999"/>
    <n v="151.80000000000001"/>
    <n v="474.7"/>
    <n v="160.69999999999999"/>
    <n v="160.5"/>
    <n v="315.3"/>
    <n v="159.80000000000001"/>
    <n v="154.80000000000001"/>
    <n v="166.3"/>
    <n v="150.69999999999999"/>
    <n v="154.9"/>
    <n v="161.69999999999999"/>
    <n v="158.80000000000001"/>
    <n v="157.6"/>
    <n v="161.30000000000001"/>
    <n v="627"/>
    <n v="156.75"/>
  </r>
  <r>
    <s v="Rural"/>
    <x v="8"/>
    <x v="6"/>
    <n v="145.1"/>
    <n v="204.5"/>
    <n v="180.4"/>
    <n v="157.1"/>
    <n v="188.7"/>
    <n v="157.69999999999999"/>
    <n v="152.80000000000001"/>
    <n v="163.6"/>
    <n v="113.9"/>
    <n v="169.7"/>
    <n v="166.2"/>
    <n v="171"/>
    <n v="1966.2"/>
    <n v="161.69999999999999"/>
    <n v="189.7"/>
    <n v="676.99999999999989"/>
    <n v="166"/>
    <n v="161.1"/>
    <n v="492.40000000000003"/>
    <n v="165.3"/>
    <n v="161.5"/>
    <n v="321.8"/>
    <n v="162.5"/>
    <n v="160.30000000000001"/>
    <n v="170.4"/>
    <n v="157.1"/>
    <n v="160.69999999999999"/>
    <n v="167.2"/>
    <n v="160.4"/>
    <n v="162.80000000000001"/>
    <n v="163.19999999999999"/>
    <n v="647.09999999999991"/>
    <n v="161.77499999999998"/>
  </r>
  <r>
    <s v="Urban"/>
    <x v="8"/>
    <x v="6"/>
    <n v="149.1"/>
    <n v="210.9"/>
    <n v="185"/>
    <n v="158.19999999999999"/>
    <n v="170.6"/>
    <n v="170.9"/>
    <n v="186.4"/>
    <n v="164.7"/>
    <n v="115.7"/>
    <n v="165.5"/>
    <n v="153.4"/>
    <n v="173.5"/>
    <n v="2018.4"/>
    <n v="167.9"/>
    <n v="195.5"/>
    <n v="659.69999999999993"/>
    <n v="157.9"/>
    <n v="141.9"/>
    <n v="455.3"/>
    <n v="155.5"/>
    <n v="161.5"/>
    <n v="312.2"/>
    <n v="157.69999999999999"/>
    <n v="150.69999999999999"/>
    <n v="161.5"/>
    <n v="149.5"/>
    <n v="151.19999999999999"/>
    <n v="160.30000000000001"/>
    <n v="159.6"/>
    <n v="155"/>
    <n v="161.80000000000001"/>
    <n v="618.20000000000005"/>
    <n v="154.55000000000001"/>
  </r>
  <r>
    <s v="Rural+Urban"/>
    <x v="8"/>
    <x v="6"/>
    <n v="146.4"/>
    <n v="206.8"/>
    <n v="182.2"/>
    <n v="157.5"/>
    <n v="182.1"/>
    <n v="163.9"/>
    <n v="164.2"/>
    <n v="164"/>
    <n v="114.5"/>
    <n v="168.3"/>
    <n v="160.9"/>
    <n v="172.2"/>
    <n v="1986.1000000000001"/>
    <n v="164"/>
    <n v="191.2"/>
    <n v="667.5"/>
    <n v="162.80000000000001"/>
    <n v="153.1"/>
    <n v="477.29999999999995"/>
    <n v="161.4"/>
    <n v="161.5"/>
    <n v="317.3"/>
    <n v="160.69999999999999"/>
    <n v="155.80000000000001"/>
    <n v="167"/>
    <n v="153.1"/>
    <n v="155.30000000000001"/>
    <n v="163.19999999999999"/>
    <n v="160.1"/>
    <n v="159"/>
    <n v="162.5"/>
    <n v="632.79999999999995"/>
    <n v="158.19999999999999"/>
  </r>
  <r>
    <s v="Rural"/>
    <x v="8"/>
    <x v="7"/>
    <n v="144.9"/>
    <n v="202.3"/>
    <n v="176.5"/>
    <n v="157.5"/>
    <n v="190.9"/>
    <n v="155.69999999999999"/>
    <n v="153.9"/>
    <n v="162.80000000000001"/>
    <n v="115.2"/>
    <n v="169.8"/>
    <n v="167.6"/>
    <n v="171.9"/>
    <n v="1963.2"/>
    <n v="161.80000000000001"/>
    <n v="190.2"/>
    <n v="679.2"/>
    <n v="167"/>
    <n v="162.6"/>
    <n v="495.90000000000003"/>
    <n v="166.3"/>
    <n v="162.1"/>
    <n v="323"/>
    <n v="163.1"/>
    <n v="160.9"/>
    <n v="171.1"/>
    <n v="157.69999999999999"/>
    <n v="161.1"/>
    <n v="167.5"/>
    <n v="160.30000000000001"/>
    <n v="163.30000000000001"/>
    <n v="163.6"/>
    <n v="649.19999999999993"/>
    <n v="162.30000000000001"/>
  </r>
  <r>
    <s v="Urban"/>
    <x v="8"/>
    <x v="7"/>
    <n v="149.30000000000001"/>
    <n v="207.4"/>
    <n v="174.1"/>
    <n v="159.19999999999999"/>
    <n v="175"/>
    <n v="161.30000000000001"/>
    <n v="183.3"/>
    <n v="164.5"/>
    <n v="120.4"/>
    <n v="166.2"/>
    <n v="154.80000000000001"/>
    <n v="175.1"/>
    <n v="2003.1"/>
    <n v="167.3"/>
    <n v="196.5"/>
    <n v="664.6"/>
    <n v="159.80000000000001"/>
    <n v="143.6"/>
    <n v="460.7"/>
    <n v="157.30000000000001"/>
    <n v="162.1"/>
    <n v="315.29999999999995"/>
    <n v="160.69999999999999"/>
    <n v="153.19999999999999"/>
    <n v="162.80000000000001"/>
    <n v="150.4"/>
    <n v="153.69999999999999"/>
    <n v="160.4"/>
    <n v="159.6"/>
    <n v="156"/>
    <n v="162.30000000000001"/>
    <n v="624.70000000000005"/>
    <n v="156.17500000000001"/>
  </r>
  <r>
    <s v="Rural+Urban"/>
    <x v="8"/>
    <x v="7"/>
    <n v="146.6"/>
    <n v="204"/>
    <n v="172.8"/>
    <n v="158.4"/>
    <n v="188"/>
    <n v="156.80000000000001"/>
    <n v="162.19999999999999"/>
    <n v="164.1"/>
    <n v="119.7"/>
    <n v="168.8"/>
    <n v="162.69999999999999"/>
    <n v="173.9"/>
    <n v="1979.3"/>
    <n v="164"/>
    <n v="192.1"/>
    <n v="672.4"/>
    <n v="164.5"/>
    <n v="155.30000000000001"/>
    <n v="483"/>
    <n v="163.19999999999999"/>
    <n v="162.1"/>
    <n v="319.60000000000002"/>
    <n v="162.6"/>
    <n v="157.5"/>
    <n v="168.4"/>
    <n v="154"/>
    <n v="157.6"/>
    <n v="163.80000000000001"/>
    <n v="160"/>
    <n v="160"/>
    <n v="163.19999999999999"/>
    <n v="637.9"/>
    <n v="159.47499999999999"/>
  </r>
  <r>
    <s v="Rural"/>
    <x v="8"/>
    <x v="8"/>
    <n v="145.4"/>
    <n v="202.1"/>
    <n v="172"/>
    <n v="158"/>
    <n v="195.5"/>
    <n v="152.69999999999999"/>
    <n v="151.4"/>
    <n v="163.9"/>
    <n v="119.3"/>
    <n v="170.1"/>
    <n v="168.3"/>
    <n v="172.8"/>
    <n v="1965.3"/>
    <n v="162.1"/>
    <n v="190.5"/>
    <n v="681.7"/>
    <n v="167.7"/>
    <n v="163.6"/>
    <n v="498.4"/>
    <n v="167.1"/>
    <n v="162.1"/>
    <n v="323.39999999999998"/>
    <n v="163.69999999999999"/>
    <n v="161.30000000000001"/>
    <n v="171.9"/>
    <n v="157.80000000000001"/>
    <n v="162.69999999999999"/>
    <n v="168.5"/>
    <n v="160.19999999999999"/>
    <n v="163.80000000000001"/>
    <n v="164"/>
    <n v="651.29999999999995"/>
    <n v="162.82499999999999"/>
  </r>
  <r>
    <s v="Urban"/>
    <x v="8"/>
    <x v="8"/>
    <n v="149.30000000000001"/>
    <n v="207.4"/>
    <n v="174.1"/>
    <n v="159.1"/>
    <n v="175"/>
    <n v="161.19999999999999"/>
    <n v="183.5"/>
    <n v="164.5"/>
    <n v="120.4"/>
    <n v="166.2"/>
    <n v="154.80000000000001"/>
    <n v="175.1"/>
    <n v="2003.0999999999997"/>
    <n v="167.3"/>
    <n v="196.5"/>
    <n v="664.80000000000007"/>
    <n v="159.80000000000001"/>
    <n v="143.6"/>
    <n v="460.79999999999995"/>
    <n v="157.4"/>
    <n v="162.1"/>
    <n v="315.39999999999998"/>
    <n v="160.80000000000001"/>
    <n v="153.30000000000001"/>
    <n v="162.80000000000001"/>
    <n v="150.5"/>
    <n v="153.9"/>
    <n v="160.30000000000001"/>
    <n v="159.6"/>
    <n v="156"/>
    <n v="162.30000000000001"/>
    <n v="624.90000000000009"/>
    <n v="156.22500000000002"/>
  </r>
  <r>
    <s v="Rural+Urban"/>
    <x v="8"/>
    <x v="8"/>
    <n v="146.6"/>
    <n v="204"/>
    <n v="172.8"/>
    <n v="158.4"/>
    <n v="188"/>
    <n v="156.69999999999999"/>
    <n v="162.30000000000001"/>
    <n v="164.1"/>
    <n v="119.7"/>
    <n v="168.8"/>
    <n v="162.69999999999999"/>
    <n v="173.9"/>
    <n v="1979.3"/>
    <n v="164"/>
    <n v="192.1"/>
    <n v="672.5"/>
    <n v="164.6"/>
    <n v="155.30000000000001"/>
    <n v="483.2"/>
    <n v="163.30000000000001"/>
    <n v="162.1"/>
    <n v="319.60000000000002"/>
    <n v="162.6"/>
    <n v="157.5"/>
    <n v="168.4"/>
    <n v="154"/>
    <n v="157.69999999999999"/>
    <n v="163.69999999999999"/>
    <n v="160"/>
    <n v="160"/>
    <n v="163.19999999999999"/>
    <n v="637.79999999999995"/>
    <n v="159.44999999999999"/>
  </r>
  <r>
    <s v="Rural"/>
    <x v="8"/>
    <x v="9"/>
    <n v="146.1"/>
    <n v="202.5"/>
    <n v="170.1"/>
    <n v="158.4"/>
    <n v="198.8"/>
    <n v="152.6"/>
    <n v="170.4"/>
    <n v="165.2"/>
    <n v="121.6"/>
    <n v="170.6"/>
    <n v="168.8"/>
    <n v="173.6"/>
    <n v="1995.3999999999999"/>
    <n v="165.5"/>
    <n v="191.2"/>
    <n v="684.30000000000007"/>
    <n v="168.9"/>
    <n v="164.8"/>
    <n v="502.00000000000006"/>
    <n v="168.3"/>
    <n v="163.6"/>
    <n v="325.60000000000002"/>
    <n v="165.5"/>
    <n v="162"/>
    <n v="172.5"/>
    <n v="159.5"/>
    <n v="163.19999999999999"/>
    <n v="169"/>
    <n v="161.1"/>
    <n v="164.7"/>
    <n v="166.3"/>
    <n v="656"/>
    <n v="164"/>
  </r>
  <r>
    <s v="Urban"/>
    <x v="8"/>
    <x v="9"/>
    <n v="150.1"/>
    <n v="208.4"/>
    <n v="173"/>
    <n v="159.19999999999999"/>
    <n v="176.6"/>
    <n v="159.30000000000001"/>
    <n v="214.4"/>
    <n v="165.3"/>
    <n v="122.5"/>
    <n v="166.8"/>
    <n v="155.4"/>
    <n v="175.9"/>
    <n v="2043"/>
    <n v="171.5"/>
    <n v="197"/>
    <n v="667.8"/>
    <n v="160.80000000000001"/>
    <n v="144.4"/>
    <n v="463.50000000000006"/>
    <n v="158.30000000000001"/>
    <n v="163.6"/>
    <n v="317.89999999999998"/>
    <n v="162.19999999999999"/>
    <n v="154.30000000000001"/>
    <n v="163.5"/>
    <n v="152.19999999999999"/>
    <n v="155.1"/>
    <n v="160.30000000000001"/>
    <n v="160.30000000000001"/>
    <n v="157"/>
    <n v="164.6"/>
    <n v="629"/>
    <n v="157.25"/>
  </r>
  <r>
    <s v="Rural+Urban"/>
    <x v="8"/>
    <x v="9"/>
    <n v="147.4"/>
    <n v="204.6"/>
    <n v="171.2"/>
    <n v="158.69999999999999"/>
    <n v="190.6"/>
    <n v="155.69999999999999"/>
    <n v="185.3"/>
    <n v="165.2"/>
    <n v="121.9"/>
    <n v="169.3"/>
    <n v="163.19999999999999"/>
    <n v="174.7"/>
    <n v="2012.3"/>
    <n v="167.7"/>
    <n v="192.7"/>
    <n v="675.3"/>
    <n v="165.7"/>
    <n v="156.30000000000001"/>
    <n v="486.3"/>
    <n v="164.3"/>
    <n v="163.6"/>
    <n v="322"/>
    <n v="164.2"/>
    <n v="158.4"/>
    <n v="169.1"/>
    <n v="155.69999999999999"/>
    <n v="158.6"/>
    <n v="163.9"/>
    <n v="160.80000000000001"/>
    <n v="161"/>
    <n v="165.5"/>
    <n v="642.20000000000005"/>
    <n v="160.55000000000001"/>
  </r>
  <r>
    <s v="Rural"/>
    <x v="8"/>
    <x v="10"/>
    <n v="146.9"/>
    <n v="199.8"/>
    <n v="171.5"/>
    <n v="159.1"/>
    <n v="198.4"/>
    <n v="153.19999999999999"/>
    <n v="183.9"/>
    <n v="165.4"/>
    <n v="122.1"/>
    <n v="170.8"/>
    <n v="169.1"/>
    <n v="174.3"/>
    <n v="2012.9"/>
    <n v="167.5"/>
    <n v="191.4"/>
    <n v="686.69999999999993"/>
    <n v="170.4"/>
    <n v="166"/>
    <n v="506.2"/>
    <n v="169.8"/>
    <n v="164.2"/>
    <n v="327.10000000000002"/>
    <n v="165.3"/>
    <n v="162.9"/>
    <n v="173.4"/>
    <n v="158.9"/>
    <n v="163.80000000000001"/>
    <n v="169.3"/>
    <n v="162.4"/>
    <n v="165.2"/>
    <n v="167.6"/>
    <n v="656.40000000000009"/>
    <n v="164.10000000000002"/>
  </r>
  <r>
    <s v="Urban"/>
    <x v="8"/>
    <x v="10"/>
    <n v="151"/>
    <n v="204.9"/>
    <n v="175.4"/>
    <n v="159.6"/>
    <n v="175.8"/>
    <n v="160.30000000000001"/>
    <n v="229.1"/>
    <n v="165.1"/>
    <n v="123.1"/>
    <n v="167.2"/>
    <n v="156.1"/>
    <n v="176.8"/>
    <n v="2061.8000000000002"/>
    <n v="173.5"/>
    <n v="197"/>
    <n v="671.6"/>
    <n v="162.30000000000001"/>
    <n v="145.30000000000001"/>
    <n v="467.3"/>
    <n v="159.69999999999999"/>
    <n v="164.2"/>
    <n v="319.39999999999998"/>
    <n v="161.6"/>
    <n v="155.19999999999999"/>
    <n v="164.2"/>
    <n v="151.19999999999999"/>
    <n v="156.69999999999999"/>
    <n v="160.80000000000001"/>
    <n v="161.80000000000001"/>
    <n v="157.30000000000001"/>
    <n v="165.6"/>
    <n v="628.79999999999995"/>
    <n v="157.19999999999999"/>
  </r>
  <r>
    <s v="Rural+Urban"/>
    <x v="8"/>
    <x v="10"/>
    <n v="148.19999999999999"/>
    <n v="201.6"/>
    <n v="173"/>
    <n v="159.30000000000001"/>
    <n v="190.1"/>
    <n v="156.5"/>
    <n v="199.2"/>
    <n v="165.3"/>
    <n v="122.4"/>
    <n v="169.6"/>
    <n v="163.69999999999999"/>
    <n v="175.5"/>
    <n v="2030.3999999999999"/>
    <n v="169.7"/>
    <n v="192.9"/>
    <n v="678.60000000000014"/>
    <n v="167.2"/>
    <n v="157.4"/>
    <n v="490.40000000000003"/>
    <n v="165.8"/>
    <n v="164.2"/>
    <n v="323.5"/>
    <n v="163.9"/>
    <n v="159.30000000000001"/>
    <n v="169.9"/>
    <n v="154.80000000000001"/>
    <n v="159.80000000000001"/>
    <n v="164.3"/>
    <n v="162.19999999999999"/>
    <n v="161.4"/>
    <n v="166.7"/>
    <n v="642.29999999999995"/>
    <n v="160.57500000000002"/>
  </r>
  <r>
    <s v="Rural"/>
    <x v="8"/>
    <x v="11"/>
    <n v="147.4"/>
    <n v="197"/>
    <n v="176.5"/>
    <n v="159.80000000000001"/>
    <n v="195.8"/>
    <n v="152"/>
    <n v="172.3"/>
    <n v="164.5"/>
    <n v="120.6"/>
    <n v="171.7"/>
    <n v="169.7"/>
    <n v="175.1"/>
    <n v="1998.5"/>
    <n v="165.8"/>
    <n v="190.8"/>
    <n v="687.8"/>
    <n v="171.8"/>
    <n v="167.3"/>
    <n v="510.3"/>
    <n v="171.2"/>
    <n v="163.4"/>
    <n v="327.3"/>
    <n v="165.6"/>
    <n v="163.9"/>
    <n v="174"/>
    <n v="160.1"/>
    <n v="164.5"/>
    <n v="169.7"/>
    <n v="162.80000000000001"/>
    <n v="166"/>
    <n v="167"/>
    <n v="659.3"/>
    <n v="164.82499999999999"/>
  </r>
  <r>
    <s v="Urban"/>
    <x v="8"/>
    <x v="11"/>
    <n v="151.6"/>
    <n v="202.2"/>
    <n v="180"/>
    <n v="160"/>
    <n v="173.5"/>
    <n v="158.30000000000001"/>
    <n v="219.5"/>
    <n v="164.2"/>
    <n v="121.9"/>
    <n v="168.2"/>
    <n v="156.5"/>
    <n v="178.2"/>
    <n v="2049.7999999999997"/>
    <n v="172.2"/>
    <n v="196.8"/>
    <n v="673.3"/>
    <n v="163.30000000000001"/>
    <n v="146.69999999999999"/>
    <n v="470.7"/>
    <n v="160.69999999999999"/>
    <n v="163.4"/>
    <n v="319.39999999999998"/>
    <n v="161.69999999999999"/>
    <n v="156"/>
    <n v="165.1"/>
    <n v="151.80000000000001"/>
    <n v="157.6"/>
    <n v="160.6"/>
    <n v="162.4"/>
    <n v="157.80000000000001"/>
    <n v="165.2"/>
    <n v="630.09999999999991"/>
    <n v="157.52499999999998"/>
  </r>
  <r>
    <s v="Rural+Urban"/>
    <x v="8"/>
    <x v="11"/>
    <n v="148.69999999999999"/>
    <n v="198.8"/>
    <n v="177.9"/>
    <n v="159.9"/>
    <n v="187.6"/>
    <n v="154.9"/>
    <n v="188.3"/>
    <n v="164.4"/>
    <n v="121"/>
    <n v="170.5"/>
    <n v="164.2"/>
    <n v="176.5"/>
    <n v="2016.7000000000003"/>
    <n v="168.2"/>
    <n v="192.4"/>
    <n v="679.80000000000007"/>
    <n v="168.5"/>
    <n v="158.69999999999999"/>
    <n v="494.2"/>
    <n v="167"/>
    <n v="163.4"/>
    <n v="323.60000000000002"/>
    <n v="164.1"/>
    <n v="160.19999999999999"/>
    <n v="170.6"/>
    <n v="155.69999999999999"/>
    <n v="160.6"/>
    <n v="164.4"/>
    <n v="162.6"/>
    <n v="162"/>
    <n v="166.2"/>
    <n v="644.40000000000009"/>
    <n v="161.1"/>
  </r>
  <r>
    <s v="Rural"/>
    <x v="9"/>
    <x v="0"/>
    <n v="148.30000000000001"/>
    <n v="196.9"/>
    <n v="178"/>
    <n v="160.5"/>
    <n v="192.6"/>
    <n v="151.19999999999999"/>
    <n v="159.19999999999999"/>
    <n v="164"/>
    <n v="119.3"/>
    <n v="173.3"/>
    <n v="169.8"/>
    <n v="175.8"/>
    <n v="1983.2"/>
    <n v="164.1"/>
    <n v="190.7"/>
    <n v="688.59999999999991"/>
    <n v="173.2"/>
    <n v="169.3"/>
    <n v="515.20000000000005"/>
    <n v="172.7"/>
    <n v="164.5"/>
    <n v="329.4"/>
    <n v="165.8"/>
    <n v="164.9"/>
    <n v="174.7"/>
    <n v="160.80000000000001"/>
    <n v="164.9"/>
    <n v="169.9"/>
    <n v="163.19999999999999"/>
    <n v="166.6"/>
    <n v="166.4"/>
    <n v="661.40000000000009"/>
    <n v="165.35000000000002"/>
  </r>
  <r>
    <s v="Urban"/>
    <x v="9"/>
    <x v="0"/>
    <n v="152.19999999999999"/>
    <n v="202.1"/>
    <n v="180.1"/>
    <n v="160.4"/>
    <n v="171"/>
    <n v="156.5"/>
    <n v="203.6"/>
    <n v="163.80000000000001"/>
    <n v="121.3"/>
    <n v="169.8"/>
    <n v="156.6"/>
    <n v="179"/>
    <n v="2030.1"/>
    <n v="170.3"/>
    <n v="196.4"/>
    <n v="674.2"/>
    <n v="164.7"/>
    <n v="148.5"/>
    <n v="475.4"/>
    <n v="162.19999999999999"/>
    <n v="164.5"/>
    <n v="321.3"/>
    <n v="161.6"/>
    <n v="156.80000000000001"/>
    <n v="166.1"/>
    <n v="152.69999999999999"/>
    <n v="158.4"/>
    <n v="161"/>
    <n v="162.80000000000001"/>
    <n v="158.6"/>
    <n v="165"/>
    <n v="632.09999999999991"/>
    <n v="158.02500000000001"/>
  </r>
  <r>
    <s v="Rural+Urban"/>
    <x v="9"/>
    <x v="0"/>
    <n v="149.5"/>
    <n v="198.7"/>
    <n v="178.8"/>
    <n v="160.5"/>
    <n v="184.7"/>
    <n v="153.69999999999999"/>
    <n v="174.3"/>
    <n v="163.9"/>
    <n v="120"/>
    <n v="172.1"/>
    <n v="164.3"/>
    <n v="177.3"/>
    <n v="1999.9"/>
    <n v="166.4"/>
    <n v="192.2"/>
    <n v="680.7"/>
    <n v="169.9"/>
    <n v="160.69999999999999"/>
    <n v="499.1"/>
    <n v="168.5"/>
    <n v="164.5"/>
    <n v="325.60000000000002"/>
    <n v="164.2"/>
    <n v="161.1"/>
    <n v="171.4"/>
    <n v="156.5"/>
    <n v="161.19999999999999"/>
    <n v="164.7"/>
    <n v="163"/>
    <n v="162.69999999999999"/>
    <n v="165.7"/>
    <n v="646.5"/>
    <n v="161.625"/>
  </r>
  <r>
    <s v="Rural"/>
    <x v="9"/>
    <x v="1"/>
    <n v="148.80000000000001"/>
    <n v="198.1"/>
    <n v="175.5"/>
    <n v="160.69999999999999"/>
    <n v="192.6"/>
    <n v="151.4"/>
    <n v="155.19999999999999"/>
    <n v="163.9"/>
    <n v="118.1"/>
    <n v="175.4"/>
    <n v="170.5"/>
    <n v="176.3"/>
    <n v="1979.9"/>
    <n v="163.9"/>
    <n v="191.5"/>
    <n v="692"/>
    <n v="174.1"/>
    <n v="171"/>
    <n v="518.79999999999995"/>
    <n v="173.7"/>
    <n v="165.5"/>
    <n v="331.2"/>
    <n v="167.4"/>
    <n v="165.7"/>
    <n v="175.3"/>
    <n v="161.19999999999999"/>
    <n v="165.5"/>
    <n v="170.3"/>
    <n v="164.5"/>
    <n v="167.3"/>
    <n v="166.7"/>
    <n v="664.59999999999991"/>
    <n v="166.15"/>
  </r>
  <r>
    <s v="Urban"/>
    <x v="9"/>
    <x v="1"/>
    <n v="152.5"/>
    <n v="205.2"/>
    <n v="176.4"/>
    <n v="160.6"/>
    <n v="171.5"/>
    <n v="156.4"/>
    <n v="198"/>
    <n v="163.19999999999999"/>
    <n v="120.6"/>
    <n v="172.2"/>
    <n v="156.69999999999999"/>
    <n v="180"/>
    <n v="2026.8000000000002"/>
    <n v="170.2"/>
    <n v="196.5"/>
    <n v="676.90000000000009"/>
    <n v="165.7"/>
    <n v="150.4"/>
    <n v="479.5"/>
    <n v="163.4"/>
    <n v="165.5"/>
    <n v="322.89999999999998"/>
    <n v="163"/>
    <n v="157.4"/>
    <n v="167.2"/>
    <n v="153.1"/>
    <n v="159.5"/>
    <n v="162"/>
    <n v="164.2"/>
    <n v="159.4"/>
    <n v="165.5"/>
    <n v="635.5"/>
    <n v="158.875"/>
  </r>
  <r>
    <s v="Rural+Urban"/>
    <x v="9"/>
    <x v="1"/>
    <n v="150"/>
    <n v="200.6"/>
    <n v="175.8"/>
    <n v="160.69999999999999"/>
    <n v="184.9"/>
    <n v="153.69999999999999"/>
    <n v="169.7"/>
    <n v="163.69999999999999"/>
    <n v="118.9"/>
    <n v="174.3"/>
    <n v="164.7"/>
    <n v="178"/>
    <n v="1996.5000000000002"/>
    <n v="166.2"/>
    <n v="192.8"/>
    <n v="684"/>
    <n v="170.8"/>
    <n v="162.4"/>
    <n v="502.80000000000007"/>
    <n v="169.6"/>
    <n v="165.5"/>
    <n v="327.3"/>
    <n v="165.7"/>
    <n v="161.80000000000001"/>
    <n v="172.2"/>
    <n v="156.9"/>
    <n v="162.1"/>
    <n v="165.4"/>
    <n v="164.4"/>
    <n v="163.5"/>
    <n v="166.1"/>
    <n v="649.79999999999995"/>
    <n v="162.44999999999999"/>
  </r>
  <r>
    <s v="Rural"/>
    <x v="9"/>
    <x v="2"/>
    <n v="150.19999999999999"/>
    <n v="208"/>
    <n v="167.9"/>
    <n v="162"/>
    <n v="203.1"/>
    <n v="155.9"/>
    <n v="155.80000000000001"/>
    <n v="164.2"/>
    <n v="118.1"/>
    <n v="178.7"/>
    <n v="171.2"/>
    <n v="177.4"/>
    <n v="2007.9"/>
    <n v="166.6"/>
    <n v="192.3"/>
    <n v="697.5"/>
    <n v="175.4"/>
    <n v="173.2"/>
    <n v="523.70000000000005"/>
    <n v="175.1"/>
    <n v="165.3"/>
    <n v="331.8"/>
    <n v="168.9"/>
    <n v="166.5"/>
    <n v="176"/>
    <n v="162"/>
    <n v="166.6"/>
    <n v="170.6"/>
    <n v="167.4"/>
    <n v="168.3"/>
    <n v="168.7"/>
    <n v="668"/>
    <n v="167"/>
  </r>
  <r>
    <s v="Urban"/>
    <x v="9"/>
    <x v="2"/>
    <n v="153.69999999999999"/>
    <n v="215.8"/>
    <n v="167.7"/>
    <n v="162.6"/>
    <n v="180"/>
    <n v="159.6"/>
    <n v="188.4"/>
    <n v="163.4"/>
    <n v="120.3"/>
    <n v="174.7"/>
    <n v="157.1"/>
    <n v="181.5"/>
    <n v="2039.2"/>
    <n v="171.5"/>
    <n v="197.5"/>
    <n v="682.2"/>
    <n v="167.1"/>
    <n v="152.6"/>
    <n v="484.6"/>
    <n v="164.9"/>
    <n v="165.3"/>
    <n v="323.89999999999998"/>
    <n v="164.5"/>
    <n v="158.6"/>
    <n v="168.2"/>
    <n v="154.19999999999999"/>
    <n v="160.80000000000001"/>
    <n v="162.69999999999999"/>
    <n v="166.8"/>
    <n v="160.6"/>
    <n v="166.5"/>
    <n v="640"/>
    <n v="160"/>
  </r>
  <r>
    <s v="Rural+Urban"/>
    <x v="9"/>
    <x v="2"/>
    <n v="151.30000000000001"/>
    <n v="210.7"/>
    <n v="167.8"/>
    <n v="162.19999999999999"/>
    <n v="194.6"/>
    <n v="157.6"/>
    <n v="166.9"/>
    <n v="163.9"/>
    <n v="118.8"/>
    <n v="177.4"/>
    <n v="165.3"/>
    <n v="179.3"/>
    <n v="2018.9"/>
    <n v="168.4"/>
    <n v="193.7"/>
    <n v="689.5"/>
    <n v="172.1"/>
    <n v="164.6"/>
    <n v="507.79999999999995"/>
    <n v="171.1"/>
    <n v="165.3"/>
    <n v="328.1"/>
    <n v="167.2"/>
    <n v="162.80000000000001"/>
    <n v="173"/>
    <n v="157.9"/>
    <n v="163.30000000000001"/>
    <n v="166"/>
    <n v="167.2"/>
    <n v="164.6"/>
    <n v="167.7"/>
    <n v="653.9"/>
    <n v="163.47499999999999"/>
  </r>
  <r>
    <s v="Rural"/>
    <x v="9"/>
    <x v="3"/>
    <n v="151.80000000000001"/>
    <n v="209.7"/>
    <n v="164.5"/>
    <n v="163.80000000000001"/>
    <n v="207.4"/>
    <n v="169.7"/>
    <n v="153.6"/>
    <n v="165.1"/>
    <n v="118.2"/>
    <n v="182.9"/>
    <n v="172.4"/>
    <n v="178.9"/>
    <n v="2034.2"/>
    <n v="168.6"/>
    <n v="192.8"/>
    <n v="701.40000000000009"/>
    <n v="177.5"/>
    <n v="175.1"/>
    <n v="529.70000000000005"/>
    <n v="177.1"/>
    <n v="167"/>
    <n v="334.7"/>
    <n v="173.3"/>
    <n v="167.7"/>
    <n v="177"/>
    <n v="166.2"/>
    <n v="167.2"/>
    <n v="170.9"/>
    <n v="169"/>
    <n v="170.2"/>
    <n v="170.8"/>
    <n v="678.1"/>
    <n v="169.52500000000001"/>
  </r>
  <r>
    <s v="Urban"/>
    <x v="9"/>
    <x v="3"/>
    <n v="155.4"/>
    <n v="215.8"/>
    <n v="164.6"/>
    <n v="164.2"/>
    <n v="186"/>
    <n v="175.9"/>
    <n v="190.7"/>
    <n v="164"/>
    <n v="120.5"/>
    <n v="178"/>
    <n v="157.5"/>
    <n v="183.3"/>
    <n v="2072.9"/>
    <n v="174.5"/>
    <n v="197.1"/>
    <n v="685.19999999999993"/>
    <n v="168.4"/>
    <n v="154.5"/>
    <n v="489.2"/>
    <n v="166.3"/>
    <n v="167"/>
    <n v="326.8"/>
    <n v="170.5"/>
    <n v="159.80000000000001"/>
    <n v="169"/>
    <n v="159.30000000000001"/>
    <n v="162.19999999999999"/>
    <n v="164"/>
    <n v="168.4"/>
    <n v="163.1"/>
    <n v="169.2"/>
    <n v="653.6"/>
    <n v="163.4"/>
  </r>
  <r>
    <s v="Rural+Urban"/>
    <x v="9"/>
    <x v="3"/>
    <n v="152.9"/>
    <n v="211.8"/>
    <n v="164.5"/>
    <n v="163.9"/>
    <n v="199.5"/>
    <n v="172.6"/>
    <n v="166.2"/>
    <n v="164.7"/>
    <n v="119"/>
    <n v="181.3"/>
    <n v="166.2"/>
    <n v="180.9"/>
    <n v="2048.1000000000004"/>
    <n v="170.8"/>
    <n v="193.9"/>
    <n v="693.3"/>
    <n v="173.9"/>
    <n v="166.5"/>
    <n v="513.20000000000005"/>
    <n v="172.8"/>
    <n v="167"/>
    <n v="331"/>
    <n v="172.2"/>
    <n v="164"/>
    <n v="174"/>
    <n v="162.6"/>
    <n v="164.4"/>
    <n v="166.9"/>
    <n v="168.8"/>
    <n v="166.8"/>
    <n v="170.1"/>
    <n v="665.7"/>
    <n v="166.42500000000001"/>
  </r>
  <r>
    <s v="Rural"/>
    <x v="9"/>
    <x v="4"/>
    <n v="152.9"/>
    <n v="214.7"/>
    <n v="161.4"/>
    <n v="164.6"/>
    <n v="209.9"/>
    <n v="168"/>
    <n v="160.4"/>
    <n v="165"/>
    <n v="118.9"/>
    <n v="186.6"/>
    <n v="173.2"/>
    <n v="180.4"/>
    <n v="2053.6000000000004"/>
    <n v="170.8"/>
    <n v="192.9"/>
    <n v="702.2"/>
    <n v="179.3"/>
    <n v="177.2"/>
    <n v="535.5"/>
    <n v="179"/>
    <n v="167.5"/>
    <n v="336.4"/>
    <n v="175.3"/>
    <n v="168.9"/>
    <n v="177.7"/>
    <n v="167.1"/>
    <n v="167.6"/>
    <n v="171.8"/>
    <n v="168.5"/>
    <n v="170.9"/>
    <n v="172.5"/>
    <n v="683.1"/>
    <n v="170.77499999999998"/>
  </r>
  <r>
    <s v="Urban"/>
    <x v="9"/>
    <x v="4"/>
    <n v="156.69999999999999"/>
    <n v="221.2"/>
    <n v="164.1"/>
    <n v="165.4"/>
    <n v="189.5"/>
    <n v="174.5"/>
    <n v="203.2"/>
    <n v="164.1"/>
    <n v="121.2"/>
    <n v="181.4"/>
    <n v="158.5"/>
    <n v="184.9"/>
    <n v="2103.6999999999998"/>
    <n v="177.5"/>
    <n v="197.5"/>
    <n v="687.40000000000009"/>
    <n v="170"/>
    <n v="155.9"/>
    <n v="493.7"/>
    <n v="167.8"/>
    <n v="167.5"/>
    <n v="328.6"/>
    <n v="173.5"/>
    <n v="161.1"/>
    <n v="170.1"/>
    <n v="159.4"/>
    <n v="163.19999999999999"/>
    <n v="165.2"/>
    <n v="168.2"/>
    <n v="163.80000000000001"/>
    <n v="170.8"/>
    <n v="659.2"/>
    <n v="164.8"/>
  </r>
  <r>
    <s v="Rural+Urban"/>
    <x v="9"/>
    <x v="4"/>
    <n v="154.1"/>
    <n v="217"/>
    <n v="162.4"/>
    <n v="164.9"/>
    <n v="202.4"/>
    <n v="171"/>
    <n v="174.9"/>
    <n v="164.7"/>
    <n v="119.7"/>
    <n v="184.9"/>
    <n v="167.1"/>
    <n v="182.5"/>
    <n v="2071.8000000000002"/>
    <n v="173.3"/>
    <n v="194.1"/>
    <n v="694.69999999999993"/>
    <n v="175.6"/>
    <n v="168.4"/>
    <n v="518.6"/>
    <n v="174.6"/>
    <n v="167.5"/>
    <n v="332.7"/>
    <n v="174.6"/>
    <n v="165.2"/>
    <n v="174.8"/>
    <n v="163"/>
    <n v="165.1"/>
    <n v="167.9"/>
    <n v="168.4"/>
    <n v="167.5"/>
    <n v="171.7"/>
    <n v="670.7"/>
    <n v="167.67499999999998"/>
  </r>
  <r>
    <s v="Rural"/>
    <x v="9"/>
    <x v="5"/>
    <n v="153.80000000000001"/>
    <n v="217.2"/>
    <n v="169.6"/>
    <n v="165.4"/>
    <n v="208.1"/>
    <n v="165.8"/>
    <n v="167.3"/>
    <n v="164.6"/>
    <n v="119.1"/>
    <n v="188.9"/>
    <n v="174.2"/>
    <n v="181.9"/>
    <n v="2074.1"/>
    <n v="172.4"/>
    <n v="192.9"/>
    <n v="704.6"/>
    <n v="180.7"/>
    <n v="178.7"/>
    <n v="539.79999999999995"/>
    <n v="180.4"/>
    <n v="166.8"/>
    <n v="337.1"/>
    <n v="176.7"/>
    <n v="170.3"/>
    <n v="178.2"/>
    <n v="165.5"/>
    <n v="168"/>
    <n v="172.6"/>
    <n v="169.5"/>
    <n v="171"/>
    <n v="173.6"/>
    <n v="685.09999999999991"/>
    <n v="171.27500000000001"/>
  </r>
  <r>
    <s v="Urban"/>
    <x v="9"/>
    <x v="5"/>
    <n v="157.5"/>
    <n v="223.4"/>
    <n v="172.8"/>
    <n v="166.4"/>
    <n v="188.6"/>
    <n v="174.1"/>
    <n v="211.5"/>
    <n v="163.6"/>
    <n v="121.4"/>
    <n v="183.5"/>
    <n v="159.1"/>
    <n v="186.3"/>
    <n v="2128.4"/>
    <n v="179.3"/>
    <n v="198.3"/>
    <n v="690.7"/>
    <n v="171.6"/>
    <n v="157.4"/>
    <n v="498.4"/>
    <n v="169.4"/>
    <n v="166.8"/>
    <n v="328.9"/>
    <n v="174.9"/>
    <n v="162.1"/>
    <n v="170.9"/>
    <n v="157.19999999999999"/>
    <n v="164.1"/>
    <n v="166.5"/>
    <n v="169.2"/>
    <n v="163.80000000000001"/>
    <n v="171.4"/>
    <n v="660.7"/>
    <n v="165.17499999999998"/>
  </r>
  <r>
    <s v="Rural+Urban"/>
    <x v="9"/>
    <x v="5"/>
    <n v="155"/>
    <n v="219.4"/>
    <n v="170.8"/>
    <n v="165.8"/>
    <n v="200.9"/>
    <n v="169.7"/>
    <n v="182.3"/>
    <n v="164.3"/>
    <n v="119.9"/>
    <n v="187.1"/>
    <n v="167.9"/>
    <n v="183.9"/>
    <n v="2094"/>
    <n v="174.9"/>
    <n v="194.3"/>
    <n v="697.4"/>
    <n v="177.1"/>
    <n v="169.9"/>
    <n v="523"/>
    <n v="176"/>
    <n v="166.8"/>
    <n v="333.20000000000005"/>
    <n v="176"/>
    <n v="166.4"/>
    <n v="175.4"/>
    <n v="161.1"/>
    <n v="165.8"/>
    <n v="169"/>
    <n v="169.4"/>
    <n v="167.5"/>
    <n v="172.6"/>
    <n v="672.5"/>
    <n v="168.125"/>
  </r>
  <r>
    <s v="Rural"/>
    <x v="9"/>
    <x v="6"/>
    <n v="155.19999999999999"/>
    <n v="210.8"/>
    <n v="174.3"/>
    <n v="166.3"/>
    <n v="202.2"/>
    <n v="169.6"/>
    <n v="168.6"/>
    <n v="164.4"/>
    <n v="119.2"/>
    <n v="191.8"/>
    <n v="174.5"/>
    <n v="183.1"/>
    <n v="2078"/>
    <n v="172.5"/>
    <n v="193.2"/>
    <n v="706"/>
    <n v="182"/>
    <n v="180.3"/>
    <n v="544"/>
    <n v="181.7"/>
    <n v="167.8"/>
    <n v="339.1"/>
    <n v="179.6"/>
    <n v="171.3"/>
    <n v="178.8"/>
    <n v="166.3"/>
    <n v="168.6"/>
    <n v="174.7"/>
    <n v="169.7"/>
    <n v="171.8"/>
    <n v="174.3"/>
    <n v="691.90000000000009"/>
    <n v="172.97499999999999"/>
  </r>
  <r>
    <s v="Urban"/>
    <x v="9"/>
    <x v="6"/>
    <n v="159.30000000000001"/>
    <n v="217.1"/>
    <n v="176.6"/>
    <n v="167.1"/>
    <n v="184.8"/>
    <n v="179.5"/>
    <n v="208.5"/>
    <n v="164"/>
    <n v="121.5"/>
    <n v="186.3"/>
    <n v="159.80000000000001"/>
    <n v="187.7"/>
    <n v="2131.7999999999997"/>
    <n v="179.4"/>
    <n v="198.6"/>
    <n v="692.8"/>
    <n v="172.7"/>
    <n v="158.69999999999999"/>
    <n v="502"/>
    <n v="170.6"/>
    <n v="167.8"/>
    <n v="330.9"/>
    <n v="179.5"/>
    <n v="163.1"/>
    <n v="171.7"/>
    <n v="157.4"/>
    <n v="164.6"/>
    <n v="169.1"/>
    <n v="169.8"/>
    <n v="164.7"/>
    <n v="172.3"/>
    <n v="669.1"/>
    <n v="167.27500000000001"/>
  </r>
  <r>
    <s v="Rural+Urban"/>
    <x v="9"/>
    <x v="6"/>
    <n v="156.5"/>
    <n v="213"/>
    <n v="175.2"/>
    <n v="166.6"/>
    <n v="195.8"/>
    <n v="174.2"/>
    <n v="182.1"/>
    <n v="164.3"/>
    <n v="120"/>
    <n v="190"/>
    <n v="168.4"/>
    <n v="185.2"/>
    <n v="2097.8999999999996"/>
    <n v="175"/>
    <n v="194.6"/>
    <n v="699"/>
    <n v="178.3"/>
    <n v="171.3"/>
    <n v="526.90000000000009"/>
    <n v="177.3"/>
    <n v="167.8"/>
    <n v="335.20000000000005"/>
    <n v="179.6"/>
    <n v="167.4"/>
    <n v="176.1"/>
    <n v="161.6"/>
    <n v="166.3"/>
    <n v="171.4"/>
    <n v="169.7"/>
    <n v="168.4"/>
    <n v="173.4"/>
    <n v="680"/>
    <n v="170"/>
  </r>
  <r>
    <s v="Rural"/>
    <x v="9"/>
    <x v="7"/>
    <n v="159.5"/>
    <n v="204.1"/>
    <n v="168.3"/>
    <n v="167.9"/>
    <n v="198.1"/>
    <n v="169.2"/>
    <n v="173.1"/>
    <n v="167.1"/>
    <n v="120.2"/>
    <n v="195.6"/>
    <n v="174.8"/>
    <n v="184"/>
    <n v="2081"/>
    <n v="173.9"/>
    <n v="193.7"/>
    <n v="708.9"/>
    <n v="183.2"/>
    <n v="181.7"/>
    <n v="547.9"/>
    <n v="183"/>
    <n v="169"/>
    <n v="341.3"/>
    <n v="179.1"/>
    <n v="172.3"/>
    <n v="179.4"/>
    <n v="166.6"/>
    <n v="169.3"/>
    <n v="175.7"/>
    <n v="171.1"/>
    <n v="172.6"/>
    <n v="175.3"/>
    <n v="693.7"/>
    <n v="173.42499999999998"/>
  </r>
  <r>
    <s v="Urban"/>
    <x v="9"/>
    <x v="7"/>
    <n v="162.1"/>
    <n v="210.9"/>
    <n v="170.6"/>
    <n v="168.4"/>
    <n v="182.5"/>
    <n v="177.1"/>
    <n v="213.1"/>
    <n v="167.3"/>
    <n v="122.2"/>
    <n v="189.7"/>
    <n v="160.5"/>
    <n v="188.9"/>
    <n v="2133.1999999999998"/>
    <n v="180.4"/>
    <n v="198.7"/>
    <n v="695.69999999999993"/>
    <n v="173.7"/>
    <n v="160"/>
    <n v="505.29999999999995"/>
    <n v="171.6"/>
    <n v="169"/>
    <n v="333.2"/>
    <n v="178.4"/>
    <n v="164.2"/>
    <n v="172.6"/>
    <n v="157.69999999999999"/>
    <n v="165.1"/>
    <n v="169.9"/>
    <n v="171.4"/>
    <n v="165.4"/>
    <n v="173.1"/>
    <n v="670.2"/>
    <n v="167.55"/>
  </r>
  <r>
    <s v="Rural+Urban"/>
    <x v="9"/>
    <x v="7"/>
    <n v="160.30000000000001"/>
    <n v="206.5"/>
    <n v="169.2"/>
    <n v="168.1"/>
    <n v="192.4"/>
    <n v="172.9"/>
    <n v="186.7"/>
    <n v="167.2"/>
    <n v="120.9"/>
    <n v="193.6"/>
    <n v="168.8"/>
    <n v="186.3"/>
    <n v="2100.4"/>
    <n v="176.3"/>
    <n v="195"/>
    <n v="701.90000000000009"/>
    <n v="179.5"/>
    <n v="172.7"/>
    <n v="530.70000000000005"/>
    <n v="178.5"/>
    <n v="169"/>
    <n v="337.5"/>
    <n v="178.8"/>
    <n v="168.5"/>
    <n v="176.8"/>
    <n v="161.9"/>
    <n v="166.9"/>
    <n v="172.3"/>
    <n v="171.2"/>
    <n v="169.1"/>
    <n v="174.3"/>
    <n v="681.5"/>
    <n v="170.375"/>
  </r>
  <r>
    <s v="Rural"/>
    <x v="9"/>
    <x v="8"/>
    <n v="162.9"/>
    <n v="206.7"/>
    <n v="169"/>
    <n v="169.5"/>
    <n v="194.1"/>
    <n v="164.1"/>
    <n v="176.9"/>
    <n v="169"/>
    <n v="120.8"/>
    <n v="199.1"/>
    <n v="175.4"/>
    <n v="184.8"/>
    <n v="2092.4"/>
    <n v="175.5"/>
    <n v="194.5"/>
    <n v="710.7"/>
    <n v="184.7"/>
    <n v="183.3"/>
    <n v="552.5"/>
    <n v="184.5"/>
    <n v="169.5"/>
    <n v="343.1"/>
    <n v="179.7"/>
    <n v="173.6"/>
    <n v="180.2"/>
    <n v="166.9"/>
    <n v="170"/>
    <n v="176.2"/>
    <n v="170.8"/>
    <n v="173.1"/>
    <n v="176.4"/>
    <n v="696.4"/>
    <n v="174.10000000000002"/>
  </r>
  <r>
    <s v="Urban"/>
    <x v="9"/>
    <x v="8"/>
    <n v="164.9"/>
    <n v="213.7"/>
    <n v="170.9"/>
    <n v="170.1"/>
    <n v="179.3"/>
    <n v="167.5"/>
    <n v="220.8"/>
    <n v="169.2"/>
    <n v="123.1"/>
    <n v="193.6"/>
    <n v="161.1"/>
    <n v="190.4"/>
    <n v="2145.3000000000002"/>
    <n v="181.8"/>
    <n v="199.7"/>
    <n v="697.69999999999993"/>
    <n v="175"/>
    <n v="161.69999999999999"/>
    <n v="509.7"/>
    <n v="173"/>
    <n v="169.5"/>
    <n v="334.5"/>
    <n v="179.2"/>
    <n v="165"/>
    <n v="173.8"/>
    <n v="158.19999999999999"/>
    <n v="165.8"/>
    <n v="170.9"/>
    <n v="171.1"/>
    <n v="166.1"/>
    <n v="174.1"/>
    <n v="673.3"/>
    <n v="168.32499999999999"/>
  </r>
  <r>
    <s v="Rural+Urban"/>
    <x v="9"/>
    <x v="8"/>
    <n v="163.5"/>
    <n v="209.2"/>
    <n v="169.7"/>
    <n v="169.7"/>
    <n v="188.7"/>
    <n v="165.7"/>
    <n v="191.8"/>
    <n v="169.1"/>
    <n v="121.6"/>
    <n v="197.3"/>
    <n v="169.4"/>
    <n v="187.4"/>
    <n v="2111.5000000000005"/>
    <n v="177.8"/>
    <n v="195.9"/>
    <n v="703.8"/>
    <n v="180.9"/>
    <n v="174.3"/>
    <n v="535.1"/>
    <n v="179.9"/>
    <n v="169.5"/>
    <n v="339"/>
    <n v="179.5"/>
    <n v="169.5"/>
    <n v="177.8"/>
    <n v="162.30000000000001"/>
    <n v="167.6"/>
    <n v="173.1"/>
    <n v="170.9"/>
    <n v="169.7"/>
    <n v="175.3"/>
    <n v="684.4"/>
    <n v="171.1"/>
  </r>
  <r>
    <s v="Rural"/>
    <x v="9"/>
    <x v="9"/>
    <n v="164.7"/>
    <n v="208.8"/>
    <n v="170.3"/>
    <n v="170.9"/>
    <n v="191.6"/>
    <n v="162.19999999999999"/>
    <n v="184.8"/>
    <n v="169.7"/>
    <n v="121.1"/>
    <n v="201.6"/>
    <n v="175.8"/>
    <n v="185.6"/>
    <n v="2108.6999999999998"/>
    <n v="177.4"/>
    <n v="194.9"/>
    <n v="713.30000000000007"/>
    <n v="186.1"/>
    <n v="184.4"/>
    <n v="556.4"/>
    <n v="185.9"/>
    <n v="171.2"/>
    <n v="345.6"/>
    <n v="180.8"/>
    <n v="174.4"/>
    <n v="181.2"/>
    <n v="167.4"/>
    <n v="170.6"/>
    <n v="176.5"/>
    <n v="172"/>
    <n v="173.9"/>
    <n v="177.9"/>
    <n v="699.1"/>
    <n v="174.77499999999998"/>
  </r>
  <r>
    <s v="Urban"/>
    <x v="9"/>
    <x v="9"/>
    <n v="166.4"/>
    <n v="214.9"/>
    <n v="171.9"/>
    <n v="171"/>
    <n v="177.7"/>
    <n v="165.7"/>
    <n v="228.6"/>
    <n v="169.9"/>
    <n v="123.4"/>
    <n v="196.4"/>
    <n v="161.6"/>
    <n v="191.5"/>
    <n v="2160.7000000000003"/>
    <n v="183.3"/>
    <n v="200.1"/>
    <n v="700.3"/>
    <n v="175.5"/>
    <n v="162.6"/>
    <n v="511.70000000000005"/>
    <n v="173.6"/>
    <n v="171.2"/>
    <n v="337.2"/>
    <n v="180"/>
    <n v="166"/>
    <n v="174.7"/>
    <n v="158.80000000000001"/>
    <n v="166.3"/>
    <n v="171.2"/>
    <n v="172.3"/>
    <n v="166.8"/>
    <n v="175.3"/>
    <n v="676"/>
    <n v="169"/>
  </r>
  <r>
    <s v="Rural+Urban"/>
    <x v="9"/>
    <x v="9"/>
    <n v="165.2"/>
    <n v="210.9"/>
    <n v="170.9"/>
    <n v="170.9"/>
    <n v="186.5"/>
    <n v="163.80000000000001"/>
    <n v="199.7"/>
    <n v="169.8"/>
    <n v="121.9"/>
    <n v="199.9"/>
    <n v="169.9"/>
    <n v="188.3"/>
    <n v="2127.4000000000005"/>
    <n v="179.6"/>
    <n v="196.3"/>
    <n v="706.50000000000011"/>
    <n v="181.9"/>
    <n v="175.3"/>
    <n v="538.20000000000005"/>
    <n v="181"/>
    <n v="171.2"/>
    <n v="341.6"/>
    <n v="180.5"/>
    <n v="170.4"/>
    <n v="178.7"/>
    <n v="162.9"/>
    <n v="168.2"/>
    <n v="173.4"/>
    <n v="172.1"/>
    <n v="170.5"/>
    <n v="176.7"/>
    <n v="687.19999999999993"/>
    <n v="171.8"/>
  </r>
  <r>
    <s v="Rural"/>
    <x v="9"/>
    <x v="10"/>
    <n v="166.9"/>
    <n v="207.2"/>
    <n v="180.2"/>
    <n v="172.3"/>
    <n v="194"/>
    <n v="159.1"/>
    <n v="171.6"/>
    <n v="170.2"/>
    <n v="121.5"/>
    <n v="204.8"/>
    <n v="176.4"/>
    <n v="186.9"/>
    <n v="2111.3000000000002"/>
    <n v="176.6"/>
    <n v="195.5"/>
    <n v="716.1"/>
    <n v="187.2"/>
    <n v="185.2"/>
    <n v="559.29999999999995"/>
    <n v="186.9"/>
    <n v="171.8"/>
    <n v="347.3"/>
    <n v="181.9"/>
    <n v="175.5"/>
    <n v="182.3"/>
    <n v="167.5"/>
    <n v="170.8"/>
    <n v="176.9"/>
    <n v="173.4"/>
    <n v="174.6"/>
    <n v="177.8"/>
    <n v="701.8"/>
    <n v="175.45"/>
  </r>
  <r>
    <s v="Urban"/>
    <x v="9"/>
    <x v="10"/>
    <n v="168.4"/>
    <n v="213.4"/>
    <n v="183.2"/>
    <n v="172.3"/>
    <n v="180"/>
    <n v="162.6"/>
    <n v="205.5"/>
    <n v="171"/>
    <n v="123.4"/>
    <n v="198.8"/>
    <n v="162.1"/>
    <n v="192.4"/>
    <n v="2152.3000000000002"/>
    <n v="181.3"/>
    <n v="200.6"/>
    <n v="703.2"/>
    <n v="176.7"/>
    <n v="163.5"/>
    <n v="514.9"/>
    <n v="174.7"/>
    <n v="171.8"/>
    <n v="338.70000000000005"/>
    <n v="180.3"/>
    <n v="166.9"/>
    <n v="175.8"/>
    <n v="158.9"/>
    <n v="166.7"/>
    <n v="171.5"/>
    <n v="173.8"/>
    <n v="167.4"/>
    <n v="174.1"/>
    <n v="677.6"/>
    <n v="169.39999999999998"/>
  </r>
  <r>
    <s v="Rural+Urban"/>
    <x v="9"/>
    <x v="10"/>
    <n v="167.4"/>
    <n v="209.4"/>
    <n v="181.4"/>
    <n v="172.3"/>
    <n v="188.9"/>
    <n v="160.69999999999999"/>
    <n v="183.1"/>
    <n v="170.5"/>
    <n v="122.1"/>
    <n v="202.8"/>
    <n v="170.4"/>
    <n v="189.5"/>
    <n v="2126.4000000000005"/>
    <n v="178.3"/>
    <n v="196.9"/>
    <n v="709.4"/>
    <n v="183.1"/>
    <n v="176.2"/>
    <n v="541.4"/>
    <n v="182.1"/>
    <n v="171.8"/>
    <n v="343.20000000000005"/>
    <n v="181.3"/>
    <n v="171.4"/>
    <n v="179.8"/>
    <n v="163"/>
    <n v="168.5"/>
    <n v="173.7"/>
    <n v="173.6"/>
    <n v="171.1"/>
    <n v="176.5"/>
    <n v="689.4"/>
    <n v="172.35000000000002"/>
  </r>
  <r>
    <s v="Rural"/>
    <x v="9"/>
    <x v="11"/>
    <n v="168.8"/>
    <n v="206.9"/>
    <n v="189.1"/>
    <n v="173.4"/>
    <n v="193.9"/>
    <n v="156.69999999999999"/>
    <n v="150.19999999999999"/>
    <n v="170.5"/>
    <n v="121.2"/>
    <n v="207.5"/>
    <n v="176.8"/>
    <n v="187.7"/>
    <n v="2100.3000000000002"/>
    <n v="174.4"/>
    <n v="195.9"/>
    <n v="719.60000000000014"/>
    <n v="188.1"/>
    <n v="185.9"/>
    <n v="561.79999999999995"/>
    <n v="187.8"/>
    <n v="170.7"/>
    <n v="347.1"/>
    <n v="182.8"/>
    <n v="176.4"/>
    <n v="183.5"/>
    <n v="167.8"/>
    <n v="171.2"/>
    <n v="177.3"/>
    <n v="175.7"/>
    <n v="175.5"/>
    <n v="177.1"/>
    <n v="704.30000000000007"/>
    <n v="176.07499999999999"/>
  </r>
  <r>
    <s v="Urban"/>
    <x v="9"/>
    <x v="11"/>
    <n v="170.2"/>
    <n v="212.9"/>
    <n v="191.9"/>
    <n v="173.9"/>
    <n v="179.1"/>
    <n v="159.5"/>
    <n v="178.7"/>
    <n v="171.3"/>
    <n v="123.1"/>
    <n v="200.5"/>
    <n v="162.80000000000001"/>
    <n v="193.3"/>
    <n v="2133.0000000000005"/>
    <n v="178.6"/>
    <n v="201.1"/>
    <n v="707"/>
    <n v="177.7"/>
    <n v="164.5"/>
    <n v="517.9"/>
    <n v="175.7"/>
    <n v="170.7"/>
    <n v="338"/>
    <n v="180.6"/>
    <n v="167.3"/>
    <n v="177.2"/>
    <n v="159.4"/>
    <n v="167.1"/>
    <n v="171.8"/>
    <n v="176"/>
    <n v="168.2"/>
    <n v="174.1"/>
    <n v="679.10000000000014"/>
    <n v="169.77500000000001"/>
  </r>
  <r>
    <s v="Rural+Urban"/>
    <x v="9"/>
    <x v="11"/>
    <n v="169.2"/>
    <n v="209"/>
    <n v="190.2"/>
    <n v="173.6"/>
    <n v="188.5"/>
    <n v="158"/>
    <n v="159.9"/>
    <n v="170.8"/>
    <n v="121.8"/>
    <n v="205.2"/>
    <n v="171"/>
    <n v="190.3"/>
    <n v="2112.4"/>
    <n v="175.9"/>
    <n v="197.3"/>
    <n v="713"/>
    <n v="184"/>
    <n v="177"/>
    <n v="544"/>
    <n v="183"/>
    <n v="170.7"/>
    <n v="342.79999999999995"/>
    <n v="182"/>
    <n v="172.1"/>
    <n v="181.1"/>
    <n v="163.4"/>
    <n v="168.9"/>
    <n v="174.1"/>
    <n v="175.8"/>
    <n v="172"/>
    <n v="175.7"/>
    <n v="691.6"/>
    <n v="172.9"/>
  </r>
  <r>
    <s v="Rural"/>
    <x v="10"/>
    <x v="0"/>
    <n v="174"/>
    <n v="208.3"/>
    <n v="192.9"/>
    <n v="174.3"/>
    <n v="192.6"/>
    <n v="156.30000000000001"/>
    <n v="142.9"/>
    <n v="170.7"/>
    <n v="120.3"/>
    <n v="210.5"/>
    <n v="176.9"/>
    <n v="188.5"/>
    <n v="2106.3000000000002"/>
    <n v="175"/>
    <n v="196.9"/>
    <n v="724"/>
    <n v="189"/>
    <n v="186.3"/>
    <n v="563.9"/>
    <n v="188.6"/>
    <n v="172.1"/>
    <n v="349.29999999999995"/>
    <n v="183.2"/>
    <n v="177.2"/>
    <n v="184.7"/>
    <n v="168.2"/>
    <n v="171.8"/>
    <n v="177.8"/>
    <n v="178.4"/>
    <n v="176.5"/>
    <n v="177.8"/>
    <n v="706.40000000000009"/>
    <n v="176.60000000000002"/>
  </r>
  <r>
    <s v="Urban"/>
    <x v="10"/>
    <x v="0"/>
    <n v="173.3"/>
    <n v="215.2"/>
    <n v="197"/>
    <n v="175.2"/>
    <n v="178"/>
    <n v="160.5"/>
    <n v="175.3"/>
    <n v="171.2"/>
    <n v="122.7"/>
    <n v="204.3"/>
    <n v="163.69999999999999"/>
    <n v="194.3"/>
    <n v="2146.5"/>
    <n v="179.5"/>
    <n v="201.6"/>
    <n v="711.89999999999986"/>
    <n v="178.7"/>
    <n v="165.3"/>
    <n v="520.6"/>
    <n v="176.6"/>
    <n v="172.1"/>
    <n v="340.1"/>
    <n v="180.1"/>
    <n v="168"/>
    <n v="178.5"/>
    <n v="159.5"/>
    <n v="167.8"/>
    <n v="171.8"/>
    <n v="178.8"/>
    <n v="168.9"/>
    <n v="174.9"/>
    <n v="679.4"/>
    <n v="169.85"/>
  </r>
  <r>
    <s v="Rural+Urban"/>
    <x v="10"/>
    <x v="0"/>
    <n v="173.8"/>
    <n v="210.7"/>
    <n v="194.5"/>
    <n v="174.6"/>
    <n v="187.2"/>
    <n v="158.30000000000001"/>
    <n v="153.9"/>
    <n v="170.9"/>
    <n v="121.1"/>
    <n v="208.4"/>
    <n v="171.4"/>
    <n v="191.2"/>
    <n v="2121.2999999999997"/>
    <n v="176.7"/>
    <n v="198.2"/>
    <n v="717.7"/>
    <n v="184.9"/>
    <n v="177.6"/>
    <n v="546.29999999999995"/>
    <n v="183.8"/>
    <n v="172.1"/>
    <n v="345"/>
    <n v="182"/>
    <n v="172.9"/>
    <n v="182.3"/>
    <n v="163.6"/>
    <n v="169.5"/>
    <n v="174.3"/>
    <n v="178.6"/>
    <n v="172.8"/>
    <n v="176.5"/>
    <n v="692.8"/>
    <n v="173.2"/>
  </r>
  <r>
    <s v="Rural"/>
    <x v="10"/>
    <x v="1"/>
    <n v="174.2"/>
    <n v="205.2"/>
    <n v="173.9"/>
    <n v="177"/>
    <n v="183.4"/>
    <n v="167.2"/>
    <n v="140.9"/>
    <n v="170.4"/>
    <n v="119.1"/>
    <n v="212.1"/>
    <n v="177.6"/>
    <n v="189.9"/>
    <n v="2088.1000000000004"/>
    <n v="174.8"/>
    <n v="198.3"/>
    <n v="729.40000000000009"/>
    <n v="190"/>
    <n v="187"/>
    <n v="566.6"/>
    <n v="189.6"/>
    <n v="173.5"/>
    <n v="352.1"/>
    <n v="181.6"/>
    <n v="178.6"/>
    <n v="186.6"/>
    <n v="169"/>
    <n v="172.8"/>
    <n v="178.5"/>
    <n v="180.7"/>
    <n v="177.9"/>
    <n v="178"/>
    <n v="707.7"/>
    <n v="176.92500000000001"/>
  </r>
  <r>
    <s v="Urban"/>
    <x v="10"/>
    <x v="1"/>
    <n v="174.7"/>
    <n v="212.2"/>
    <n v="177.2"/>
    <n v="177.9"/>
    <n v="172.2"/>
    <n v="172.1"/>
    <n v="175.8"/>
    <n v="172.2"/>
    <n v="121.9"/>
    <n v="204.8"/>
    <n v="164.9"/>
    <n v="196.6"/>
    <n v="2138.3000000000002"/>
    <n v="180.7"/>
    <n v="202.7"/>
    <n v="717.4"/>
    <n v="180.3"/>
    <n v="167"/>
    <n v="525.5"/>
    <n v="178.2"/>
    <n v="173.5"/>
    <n v="342.7"/>
    <n v="182.8"/>
    <n v="169.2"/>
    <n v="180.8"/>
    <n v="159.80000000000001"/>
    <n v="168.4"/>
    <n v="172.5"/>
    <n v="181.4"/>
    <n v="170"/>
    <n v="176.3"/>
    <n v="684.3"/>
    <n v="171.07499999999999"/>
  </r>
  <r>
    <s v="Rural+Urban"/>
    <x v="10"/>
    <x v="1"/>
    <n v="174.4"/>
    <n v="207.7"/>
    <n v="175.2"/>
    <n v="177.3"/>
    <n v="179.3"/>
    <n v="169.5"/>
    <n v="152.69999999999999"/>
    <n v="171"/>
    <n v="120"/>
    <n v="209.7"/>
    <n v="172.3"/>
    <n v="193"/>
    <n v="2106.8000000000002"/>
    <n v="177"/>
    <n v="199.5"/>
    <n v="723.1"/>
    <n v="186.2"/>
    <n v="178.7"/>
    <n v="550"/>
    <n v="185.1"/>
    <n v="173.5"/>
    <n v="347.7"/>
    <n v="182.1"/>
    <n v="174.2"/>
    <n v="184.4"/>
    <n v="164.2"/>
    <n v="170.3"/>
    <n v="175"/>
    <n v="181"/>
    <n v="174.1"/>
    <n v="177.2"/>
    <n v="695.5"/>
    <n v="173.875"/>
  </r>
  <r>
    <s v="Rural"/>
    <x v="10"/>
    <x v="2"/>
    <n v="174.3"/>
    <n v="205.2"/>
    <n v="173.9"/>
    <n v="177"/>
    <n v="183.3"/>
    <n v="167.2"/>
    <n v="140.9"/>
    <n v="170.5"/>
    <n v="119.1"/>
    <n v="212.1"/>
    <n v="177.6"/>
    <n v="189.9"/>
    <n v="2088.2000000000003"/>
    <n v="174.8"/>
    <n v="198.4"/>
    <n v="729.5"/>
    <n v="190"/>
    <n v="187"/>
    <n v="566.6"/>
    <n v="189.6"/>
    <n v="173.5"/>
    <n v="352.1"/>
    <n v="181.4"/>
    <n v="178.6"/>
    <n v="186.6"/>
    <n v="169"/>
    <n v="172.8"/>
    <n v="178.5"/>
    <n v="180.7"/>
    <n v="177.9"/>
    <n v="178"/>
    <n v="707.5"/>
    <n v="176.875"/>
  </r>
  <r>
    <s v="Urban"/>
    <x v="10"/>
    <x v="2"/>
    <n v="174.7"/>
    <n v="212.2"/>
    <n v="177.2"/>
    <n v="177.9"/>
    <n v="172.2"/>
    <n v="172.1"/>
    <n v="175.9"/>
    <n v="172.2"/>
    <n v="121.9"/>
    <n v="204.8"/>
    <n v="164.9"/>
    <n v="196.6"/>
    <n v="2138.5000000000005"/>
    <n v="180.8"/>
    <n v="202.7"/>
    <n v="717.5"/>
    <n v="180.2"/>
    <n v="167"/>
    <n v="525.4"/>
    <n v="178.2"/>
    <n v="173.5"/>
    <n v="342.7"/>
    <n v="182.6"/>
    <n v="169.2"/>
    <n v="180.8"/>
    <n v="159.80000000000001"/>
    <n v="168.4"/>
    <n v="172.5"/>
    <n v="181.5"/>
    <n v="170"/>
    <n v="176.3"/>
    <n v="684.09999999999991"/>
    <n v="171.02500000000001"/>
  </r>
  <r>
    <s v="Rural+Urban"/>
    <x v="10"/>
    <x v="2"/>
    <n v="174.4"/>
    <n v="207.7"/>
    <n v="175.2"/>
    <n v="177.3"/>
    <n v="179.2"/>
    <n v="169.5"/>
    <n v="152.80000000000001"/>
    <n v="171.1"/>
    <n v="120"/>
    <n v="209.7"/>
    <n v="172.3"/>
    <n v="193"/>
    <n v="2106.9000000000005"/>
    <n v="177"/>
    <n v="199.5"/>
    <n v="723.1"/>
    <n v="186.1"/>
    <n v="178.7"/>
    <n v="549.9"/>
    <n v="185.1"/>
    <n v="173.5"/>
    <n v="347.7"/>
    <n v="181.9"/>
    <n v="174.2"/>
    <n v="184.4"/>
    <n v="164.2"/>
    <n v="170.3"/>
    <n v="175"/>
    <n v="181"/>
    <n v="174.1"/>
    <n v="177.2"/>
    <n v="695.3"/>
    <n v="173.82499999999999"/>
  </r>
  <r>
    <s v="Rural"/>
    <x v="10"/>
    <x v="3"/>
    <n v="173.3"/>
    <n v="206.9"/>
    <n v="167.9"/>
    <n v="178.2"/>
    <n v="178.5"/>
    <n v="173.7"/>
    <n v="142.80000000000001"/>
    <n v="172.8"/>
    <n v="120.4"/>
    <n v="215.5"/>
    <n v="178.2"/>
    <n v="190.5"/>
    <n v="2096"/>
    <n v="175.5"/>
    <n v="199.5"/>
    <n v="734.7"/>
    <n v="190.7"/>
    <n v="187.3"/>
    <n v="568.20000000000005"/>
    <n v="190.2"/>
    <n v="175.2"/>
    <n v="354.29999999999995"/>
    <n v="181.5"/>
    <n v="179.1"/>
    <n v="187.2"/>
    <n v="169.4"/>
    <n v="173.2"/>
    <n v="179.4"/>
    <n v="183.8"/>
    <n v="178.9"/>
    <n v="178.8"/>
    <n v="709.4"/>
    <n v="177.35"/>
  </r>
  <r>
    <s v="Urban"/>
    <x v="10"/>
    <x v="3"/>
    <n v="174.8"/>
    <n v="213.7"/>
    <n v="172.4"/>
    <n v="178.8"/>
    <n v="168.7"/>
    <n v="179.2"/>
    <n v="179.9"/>
    <n v="174.7"/>
    <n v="123.1"/>
    <n v="207.8"/>
    <n v="165.5"/>
    <n v="197"/>
    <n v="2152.1999999999998"/>
    <n v="182.1"/>
    <n v="203.5"/>
    <n v="722.19999999999993"/>
    <n v="181"/>
    <n v="167.7"/>
    <n v="527.6"/>
    <n v="178.9"/>
    <n v="175.2"/>
    <n v="344.79999999999995"/>
    <n v="182.1"/>
    <n v="169.6"/>
    <n v="181.5"/>
    <n v="160.1"/>
    <n v="168.8"/>
    <n v="174.2"/>
    <n v="184.4"/>
    <n v="170.9"/>
    <n v="177.4"/>
    <n v="686"/>
    <n v="171.5"/>
  </r>
  <r>
    <s v="Rural+Urban"/>
    <x v="10"/>
    <x v="3"/>
    <n v="173.8"/>
    <n v="209.3"/>
    <n v="169.6"/>
    <n v="178.4"/>
    <n v="174.9"/>
    <n v="176.3"/>
    <n v="155.4"/>
    <n v="173.4"/>
    <n v="121.3"/>
    <n v="212.9"/>
    <n v="172.9"/>
    <n v="193.5"/>
    <n v="2116.6999999999998"/>
    <n v="177.9"/>
    <n v="200.6"/>
    <n v="728.2"/>
    <n v="186.9"/>
    <n v="179.2"/>
    <n v="551.79999999999995"/>
    <n v="185.7"/>
    <n v="175.2"/>
    <n v="349.79999999999995"/>
    <n v="181.7"/>
    <n v="174.6"/>
    <n v="185"/>
    <n v="164.5"/>
    <n v="170.7"/>
    <n v="176.4"/>
    <n v="184"/>
    <n v="175"/>
    <n v="178.1"/>
    <n v="697.19999999999993"/>
    <n v="174.3"/>
  </r>
  <r>
    <s v="Rural"/>
    <x v="10"/>
    <x v="4"/>
    <n v="173.2"/>
    <n v="211.5"/>
    <n v="171"/>
    <n v="179.6"/>
    <n v="173.3"/>
    <n v="169"/>
    <n v="148.69999999999999"/>
    <n v="174.9"/>
    <n v="121.9"/>
    <n v="221"/>
    <n v="178.7"/>
    <n v="191.1"/>
    <n v="2112"/>
    <n v="176.8"/>
    <n v="199.9"/>
    <n v="737.30000000000007"/>
    <n v="191.2"/>
    <n v="187.9"/>
    <n v="569.90000000000009"/>
    <n v="190.8"/>
    <n v="175.6"/>
    <n v="355.4"/>
    <n v="182.5"/>
    <n v="179.8"/>
    <n v="187.8"/>
    <n v="169.7"/>
    <n v="173.8"/>
    <n v="180.3"/>
    <n v="184.9"/>
    <n v="179.5"/>
    <n v="179.8"/>
    <n v="712.3"/>
    <n v="178.07499999999999"/>
  </r>
  <r>
    <s v="Urban"/>
    <x v="10"/>
    <x v="4"/>
    <n v="174.7"/>
    <n v="219.4"/>
    <n v="176.7"/>
    <n v="179.4"/>
    <n v="164.4"/>
    <n v="175.8"/>
    <n v="185"/>
    <n v="176.9"/>
    <n v="124.2"/>
    <n v="211.9"/>
    <n v="165.9"/>
    <n v="197.7"/>
    <n v="2169.2000000000003"/>
    <n v="183.1"/>
    <n v="204.2"/>
    <n v="724.9"/>
    <n v="181.3"/>
    <n v="168.1"/>
    <n v="528.70000000000005"/>
    <n v="179.3"/>
    <n v="175.6"/>
    <n v="345.7"/>
    <n v="183.4"/>
    <n v="170.1"/>
    <n v="182.2"/>
    <n v="160.4"/>
    <n v="169.2"/>
    <n v="174.8"/>
    <n v="185.6"/>
    <n v="171.6"/>
    <n v="178.2"/>
    <n v="688.7"/>
    <n v="172.17500000000001"/>
  </r>
  <r>
    <s v="Rural+Urban"/>
    <x v="10"/>
    <x v="4"/>
    <n v="173.7"/>
    <n v="214.3"/>
    <n v="173.2"/>
    <n v="179.5"/>
    <n v="170"/>
    <n v="172.2"/>
    <n v="161"/>
    <n v="175.6"/>
    <n v="122.7"/>
    <n v="218"/>
    <n v="173.4"/>
    <n v="194.2"/>
    <n v="2133.5"/>
    <n v="179.1"/>
    <n v="201"/>
    <n v="730.8"/>
    <n v="187.3"/>
    <n v="179.7"/>
    <n v="553.20000000000005"/>
    <n v="186.2"/>
    <n v="175.6"/>
    <n v="350.79999999999995"/>
    <n v="182.8"/>
    <n v="175.2"/>
    <n v="185.7"/>
    <n v="164.8"/>
    <n v="171.2"/>
    <n v="177.1"/>
    <n v="185.2"/>
    <n v="175.7"/>
    <n v="179.1"/>
    <n v="699.90000000000009"/>
    <n v="174.974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5:B111" firstHeaderRow="1" firstDataRow="1" firstDataCol="1" rowPageCount="1" colPageCount="1"/>
  <pivotFields count="34">
    <pivotField multipleItemSelectionAllowed="1" showAll="0"/>
    <pivotField axis="axisPage" multipleItemSelectionAllowed="1" showAll="0">
      <items count="12">
        <item h="1" x="0"/>
        <item h="1" x="1"/>
        <item h="1" x="2"/>
        <item h="1" x="3"/>
        <item h="1" x="4"/>
        <item h="1" x="5"/>
        <item h="1" x="6"/>
        <item h="1" x="7"/>
        <item h="1" x="8"/>
        <item h="1"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numFmtId="164" showAll="0"/>
    <pivotField showAll="0"/>
    <pivotField showAll="0"/>
    <pivotField numFmtId="164"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pageFields count="1">
    <pageField fld="1" hier="-1"/>
  </pageFields>
  <dataFields count="1">
    <dataField name="Average of Foods" fld="15" subtotal="average" baseField="0" baseItem="0" numFmtId="164"/>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J59" firstHeaderRow="0" firstDataRow="1" firstDataCol="1" rowPageCount="1" colPageCount="1"/>
  <pivotFields count="34">
    <pivotField axis="axisPage" multipleItemSelectionAllowed="1" showAll="0">
      <items count="4">
        <item h="1" x="0"/>
        <item x="2"/>
        <item h="1" x="1"/>
        <item t="default"/>
      </items>
    </pivotField>
    <pivotField axis="axisRow" multipleItemSelectionAllowed="1" showAll="0">
      <items count="12">
        <item h="1" x="0"/>
        <item h="1" x="1"/>
        <item h="1" x="2"/>
        <item h="1" x="3"/>
        <item x="4"/>
        <item x="5"/>
        <item x="6"/>
        <item x="7"/>
        <item x="8"/>
        <item x="9"/>
        <item x="10"/>
        <item t="default"/>
      </items>
    </pivotField>
    <pivotField showAll="0">
      <items count="13">
        <item h="1" x="0"/>
        <item h="1" x="1"/>
        <item h="1" x="2"/>
        <item h="1" x="3"/>
        <item x="4"/>
        <item h="1" x="5"/>
        <item h="1" x="6"/>
        <item h="1" x="7"/>
        <item h="1" x="8"/>
        <item h="1" x="9"/>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dataField="1" numFmtId="164" showAll="0"/>
    <pivotField showAll="0"/>
    <pivotField showAll="0"/>
    <pivotField dataField="1" numFmtId="164" showAll="0"/>
    <pivotField showAll="0"/>
    <pivotField showAll="0"/>
    <pivotField dataField="1" numFmtId="164" showAll="0"/>
    <pivotField dataField="1" showAll="0"/>
    <pivotField showAll="0"/>
    <pivotField dataField="1" showAll="0"/>
    <pivotField dataField="1" showAll="0"/>
    <pivotField showAll="0"/>
    <pivotField dataField="1" showAll="0"/>
    <pivotField showAll="0"/>
    <pivotField dataField="1" showAll="0"/>
    <pivotField showAll="0"/>
  </pivotFields>
  <rowFields count="1">
    <field x="1"/>
  </rowFields>
  <rowItems count="8">
    <i>
      <x v="4"/>
    </i>
    <i>
      <x v="5"/>
    </i>
    <i>
      <x v="6"/>
    </i>
    <i>
      <x v="7"/>
    </i>
    <i>
      <x v="8"/>
    </i>
    <i>
      <x v="9"/>
    </i>
    <i>
      <x v="10"/>
    </i>
    <i t="grand">
      <x/>
    </i>
  </rowItems>
  <colFields count="1">
    <field x="-2"/>
  </colFields>
  <colItems count="9">
    <i>
      <x/>
    </i>
    <i i="1">
      <x v="1"/>
    </i>
    <i i="2">
      <x v="2"/>
    </i>
    <i i="3">
      <x v="3"/>
    </i>
    <i i="4">
      <x v="4"/>
    </i>
    <i i="5">
      <x v="5"/>
    </i>
    <i i="6">
      <x v="6"/>
    </i>
    <i i="7">
      <x v="7"/>
    </i>
    <i i="8">
      <x v="8"/>
    </i>
  </colItems>
  <pageFields count="1">
    <pageField fld="0" hier="-1"/>
  </pageFields>
  <dataFields count="9">
    <dataField name="Average of Foods" fld="15" subtotal="average" baseField="1" baseItem="4" numFmtId="164"/>
    <dataField name="Average of Clothings" fld="21" subtotal="average" baseField="1" baseItem="4" numFmtId="164"/>
    <dataField name="Average of Luxury" fld="18" subtotal="average" baseField="1" baseItem="4" numFmtId="164"/>
    <dataField name="Average of Housing Goods" fld="24" subtotal="average" baseField="1" baseItem="4" numFmtId="164"/>
    <dataField name="Average of Fuel and light" fld="25" subtotal="average" baseField="1" baseItem="4" numFmtId="164"/>
    <dataField name="Average of Health" fld="27" subtotal="average" baseField="1" baseItem="4" numFmtId="164"/>
    <dataField name="Average of Transport and communication" fld="28" subtotal="average" baseField="1" baseItem="4" numFmtId="164"/>
    <dataField name="Average of Education" fld="30" subtotal="average" baseField="1" baseItem="4" numFmtId="164"/>
    <dataField name="Average of Miscellaneous" fld="32" subtotal="average" baseField="1" baseItem="4" numFmtId="164"/>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3:Z296" firstHeaderRow="0" firstDataRow="1" firstDataCol="1" rowPageCount="2" colPageCount="1"/>
  <pivotFields count="34">
    <pivotField axis="axisPage" multipleItemSelectionAllowed="1" showAll="0">
      <items count="4">
        <item h="1" x="0"/>
        <item x="2"/>
        <item h="1" x="1"/>
        <item t="default"/>
      </items>
    </pivotField>
    <pivotField axis="axisPage" multipleItemSelectionAllowed="1" showAll="0">
      <items count="12">
        <item h="1" x="0"/>
        <item h="1" x="1"/>
        <item h="1" x="2"/>
        <item h="1" x="3"/>
        <item h="1" x="4"/>
        <item h="1" x="5"/>
        <item h="1" x="6"/>
        <item h="1" x="7"/>
        <item x="8"/>
        <item h="1" x="9"/>
        <item h="1" x="10"/>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164" showAll="0"/>
    <pivotField dataField="1" showAll="0"/>
    <pivotField dataField="1" showAll="0"/>
    <pivotField numFmtId="164" showAll="0"/>
    <pivotField dataField="1" showAll="0"/>
    <pivotField dataField="1" showAll="0"/>
    <pivotField numFmtId="164" showAll="0"/>
    <pivotField showAll="0"/>
    <pivotField dataField="1" showAll="0"/>
    <pivotField numFmtId="164"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2"/>
  </rowFields>
  <rowItems count="13">
    <i>
      <x/>
    </i>
    <i>
      <x v="1"/>
    </i>
    <i>
      <x v="2"/>
    </i>
    <i>
      <x v="3"/>
    </i>
    <i>
      <x v="4"/>
    </i>
    <i>
      <x v="5"/>
    </i>
    <i>
      <x v="6"/>
    </i>
    <i>
      <x v="7"/>
    </i>
    <i>
      <x v="8"/>
    </i>
    <i>
      <x v="9"/>
    </i>
    <i>
      <x v="10"/>
    </i>
    <i>
      <x v="11"/>
    </i>
    <i t="grand">
      <x/>
    </i>
  </rowItems>
  <colFields count="1">
    <field x="-2"/>
  </colFields>
  <colItems count="25">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colItems>
  <pageFields count="2">
    <pageField fld="1" hier="-1"/>
    <pageField fld="0" hier="-1"/>
  </pageFields>
  <dataFields count="25">
    <dataField name="Average of Fuel and light" fld="25" subtotal="average" baseField="2" baseItem="0" numFmtId="164"/>
    <dataField name="Average of Housing" fld="23" subtotal="average" baseField="2" baseItem="0" numFmtId="164"/>
    <dataField name="Average of Cereals and products" fld="3" subtotal="average" baseField="2" baseItem="0" numFmtId="164"/>
    <dataField name="Average of Meat and fish" fld="4" subtotal="average" baseField="2" baseItem="0" numFmtId="164"/>
    <dataField name="Average of Egg" fld="5" subtotal="average" baseField="2" baseItem="0" numFmtId="164"/>
    <dataField name="Average of Milk and products" fld="6" subtotal="average" baseField="2" baseItem="0" numFmtId="164"/>
    <dataField name="Average of Oils and fats" fld="7" subtotal="average" baseField="2" baseItem="0" numFmtId="164"/>
    <dataField name="Average of Fruits" fld="8" subtotal="average" baseField="2" baseItem="0" numFmtId="164"/>
    <dataField name="Average of Vegetables" fld="9" subtotal="average" baseField="2" baseItem="0" numFmtId="164"/>
    <dataField name="Average of Pulses and products" fld="10" subtotal="average" baseField="2" baseItem="0" numFmtId="164"/>
    <dataField name="Average of Sugar and Confectionery" fld="11" subtotal="average" baseField="2" baseItem="0" numFmtId="164"/>
    <dataField name="Average of Spices" fld="12" subtotal="average" baseField="2" baseItem="0" numFmtId="164"/>
    <dataField name="Average of Non-alcoholic beverages" fld="13" subtotal="average" baseField="2" baseItem="0" numFmtId="164"/>
    <dataField name="Average of Prepared meals, snacks, sweets etc." fld="14" subtotal="average" baseField="2" baseItem="0" numFmtId="164"/>
    <dataField name="Average of Food and beverages" fld="16" subtotal="average" baseField="2" baseItem="0" numFmtId="164"/>
    <dataField name="Average of Pan, tobacco and intoxicants" fld="17" subtotal="average" baseField="2" baseItem="0" numFmtId="164"/>
    <dataField name="Average of Clothing" fld="19" subtotal="average" baseField="2" baseItem="0" numFmtId="164"/>
    <dataField name="Average of Footwear" fld="20" subtotal="average" baseField="2" baseItem="0" numFmtId="164"/>
    <dataField name="Average of Household goods and services" fld="26" subtotal="average" baseField="2" baseItem="0" numFmtId="164"/>
    <dataField name="Average of Health" fld="27" subtotal="average" baseField="2" baseItem="0" numFmtId="164"/>
    <dataField name="Average of Transport and communication" fld="28" subtotal="average" baseField="2" baseItem="0" numFmtId="164"/>
    <dataField name="Average of Recreation and amusement" fld="29" subtotal="average" baseField="2" baseItem="0" numFmtId="164"/>
    <dataField name="Average of Education" fld="30" subtotal="average" baseField="2" baseItem="0" numFmtId="164"/>
    <dataField name="Average of Personal care and effects" fld="31" subtotal="average" baseField="2" baseItem="0" numFmtId="164"/>
    <dataField name="Average of Miscellaneous" fld="32" subtotal="average" baseField="2" baseItem="0" numFmtId="164"/>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J5" firstHeaderRow="0" firstDataRow="1" firstDataCol="0" rowPageCount="2" colPageCount="1"/>
  <pivotFields count="34">
    <pivotField showAll="0">
      <items count="4">
        <item x="0"/>
        <item h="1" x="2"/>
        <item h="1" x="1"/>
        <item t="default"/>
      </items>
    </pivotField>
    <pivotField axis="axisPage" multipleItemSelectionAllowed="1" showAll="0">
      <items count="12">
        <item h="1" x="0"/>
        <item h="1" x="1"/>
        <item h="1" x="2"/>
        <item h="1" x="3"/>
        <item h="1" x="4"/>
        <item h="1" x="5"/>
        <item h="1" x="6"/>
        <item h="1" x="7"/>
        <item h="1" x="8"/>
        <item h="1" x="9"/>
        <item x="10"/>
        <item t="default"/>
      </items>
    </pivotField>
    <pivotField axis="axisPage" multipleItemSelectionAllowed="1" showAll="0">
      <items count="13">
        <item h="1" x="0"/>
        <item h="1" x="1"/>
        <item h="1" x="2"/>
        <item h="1" x="3"/>
        <item x="4"/>
        <item h="1" x="5"/>
        <item h="1" x="6"/>
        <item h="1" x="7"/>
        <item h="1" x="8"/>
        <item h="1" x="9"/>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dataField="1" numFmtId="164" showAll="0"/>
    <pivotField showAll="0"/>
    <pivotField showAll="0"/>
    <pivotField dataField="1" numFmtId="164" showAll="0"/>
    <pivotField showAll="0"/>
    <pivotField showAll="0"/>
    <pivotField dataField="1" numFmtId="164" showAll="0"/>
    <pivotField dataField="1" showAll="0"/>
    <pivotField showAll="0"/>
    <pivotField dataField="1" showAll="0"/>
    <pivotField dataField="1" showAll="0"/>
    <pivotField showAll="0"/>
    <pivotField dataField="1" showAll="0"/>
    <pivotField showAll="0"/>
    <pivotField dataField="1" showAll="0"/>
    <pivotField dataField="1" showAll="0"/>
  </pivotFields>
  <rowItems count="1">
    <i/>
  </rowItems>
  <colFields count="1">
    <field x="-2"/>
  </colFields>
  <colItems count="10">
    <i>
      <x/>
    </i>
    <i i="1">
      <x v="1"/>
    </i>
    <i i="2">
      <x v="2"/>
    </i>
    <i i="3">
      <x v="3"/>
    </i>
    <i i="4">
      <x v="4"/>
    </i>
    <i i="5">
      <x v="5"/>
    </i>
    <i i="6">
      <x v="6"/>
    </i>
    <i i="7">
      <x v="7"/>
    </i>
    <i i="8">
      <x v="8"/>
    </i>
    <i i="9">
      <x v="9"/>
    </i>
  </colItems>
  <pageFields count="2">
    <pageField fld="1" hier="-1"/>
    <pageField fld="2" hier="-1"/>
  </pageFields>
  <dataFields count="10">
    <dataField name="Sum of Foods" fld="15" baseField="0" baseItem="3" numFmtId="164"/>
    <dataField name="Sum of Fuel and light" fld="25" baseField="0" baseItem="3" numFmtId="164"/>
    <dataField name="Sum of Luxury" fld="18" baseField="0" baseItem="3" numFmtId="164"/>
    <dataField name="Sum of Clothings" fld="21" baseField="0" baseItem="3" numFmtId="164"/>
    <dataField name="Sum of Housing Goods" fld="24" baseField="0" baseItem="3" numFmtId="164"/>
    <dataField name="Sum of Health" fld="27" baseField="0" baseItem="3" numFmtId="164"/>
    <dataField name="Sum of Transport and communication" fld="28" baseField="0" baseItem="3" numFmtId="164"/>
    <dataField name="Sum of Miscellaneous" fld="32" baseField="0" baseItem="3" numFmtId="164"/>
    <dataField name="Sum of Education" fld="30" baseField="0" baseItem="3" numFmtId="164"/>
    <dataField name="Sum of General index" fld="33" baseField="0" baseItem="3" numFmtId="164"/>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2:D204" firstHeaderRow="0" firstDataRow="1" firstDataCol="1" rowPageCount="1" colPageCount="1"/>
  <pivotFields count="36">
    <pivotField multipleItemSelectionAllowed="1" showAll="0"/>
    <pivotField axis="axisPage" multipleItemSelectionAllowed="1" showAll="0">
      <items count="12">
        <item h="1" x="0"/>
        <item h="1" x="1"/>
        <item h="1" x="2"/>
        <item h="1" x="3"/>
        <item h="1" x="4"/>
        <item h="1" x="5"/>
        <item x="6"/>
        <item h="1" x="7"/>
        <item h="1" x="8"/>
        <item h="1" x="9"/>
        <item h="1" x="10"/>
        <item t="default"/>
      </items>
    </pivotField>
    <pivotField axis="axisRow" showAll="0">
      <items count="13">
        <item h="1" x="0"/>
        <item h="1" x="1"/>
        <item x="2"/>
        <item h="1" x="3"/>
        <item h="1" x="4"/>
        <item h="1" x="5"/>
        <item h="1" x="6"/>
        <item h="1" x="7"/>
        <item h="1" x="8"/>
        <item h="1" x="9"/>
        <item h="1" x="1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numFmtId="164" showAll="0"/>
    <pivotField showAll="0"/>
    <pivotField showAll="0"/>
    <pivotField numFmtId="164" showAll="0"/>
    <pivotField showAll="0"/>
    <pivotField showAll="0"/>
    <pivotField numFmtId="164" showAll="0"/>
    <pivotField showAll="0"/>
    <pivotField showAll="0"/>
    <pivotField dataField="1" showAll="0"/>
    <pivotField showAll="0"/>
    <pivotField showAll="0"/>
    <pivotField showAll="0"/>
    <pivotField showAll="0"/>
    <pivotField showAll="0"/>
    <pivotField showAll="0"/>
    <pivotField dataField="1" showAll="0"/>
    <pivotField numFmtId="164" showAll="0"/>
  </pivotFields>
  <rowFields count="1">
    <field x="2"/>
  </rowFields>
  <rowItems count="2">
    <i>
      <x v="2"/>
    </i>
    <i t="grand">
      <x/>
    </i>
  </rowItems>
  <colFields count="1">
    <field x="-2"/>
  </colFields>
  <colItems count="3">
    <i>
      <x/>
    </i>
    <i i="1">
      <x v="1"/>
    </i>
    <i i="2">
      <x v="2"/>
    </i>
  </colItems>
  <pageFields count="1">
    <pageField fld="1" hier="-1"/>
  </pageFields>
  <dataFields count="3">
    <dataField name="Average of Foods" fld="15" subtotal="average" baseField="2" baseItem="0" numFmtId="164"/>
    <dataField name="Average of Health" fld="27" subtotal="average" baseField="2" baseItem="2" numFmtId="164"/>
    <dataField name="Average of Essential Services" fld="34" subtotal="average" baseField="2" baseItem="2" numFmtId="164"/>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6:M132" firstHeaderRow="0" firstDataRow="1" firstDataCol="1" rowPageCount="1" colPageCount="1"/>
  <pivotFields count="34">
    <pivotField multipleItemSelectionAllowed="1" showAll="0"/>
    <pivotField axis="axisPage" multipleItemSelectionAllowed="1" showAll="0">
      <items count="12">
        <item h="1" x="0"/>
        <item h="1" x="1"/>
        <item h="1" x="2"/>
        <item h="1" x="3"/>
        <item h="1" x="4"/>
        <item h="1" x="5"/>
        <item h="1" x="6"/>
        <item h="1" x="7"/>
        <item h="1" x="8"/>
        <item h="1" x="9"/>
        <item x="10"/>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numFmtId="164" showAll="0"/>
    <pivotField dataField="1" showAll="0"/>
    <pivotField showAll="0"/>
    <pivotField numFmtId="164" showAll="0"/>
    <pivotField showAll="0"/>
    <pivotField showAll="0"/>
    <pivotField numFmtId="164"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12">
    <i>
      <x/>
    </i>
    <i i="1">
      <x v="1"/>
    </i>
    <i i="2">
      <x v="2"/>
    </i>
    <i i="3">
      <x v="3"/>
    </i>
    <i i="4">
      <x v="4"/>
    </i>
    <i i="5">
      <x v="5"/>
    </i>
    <i i="6">
      <x v="6"/>
    </i>
    <i i="7">
      <x v="7"/>
    </i>
    <i i="8">
      <x v="8"/>
    </i>
    <i i="9">
      <x v="9"/>
    </i>
    <i i="10">
      <x v="10"/>
    </i>
    <i i="11">
      <x v="11"/>
    </i>
  </colItems>
  <pageFields count="1">
    <pageField fld="1" hier="-1"/>
  </pageFields>
  <dataFields count="12">
    <dataField name="Average of Cereals and products" fld="3" subtotal="average" baseField="2" baseItem="2" numFmtId="164"/>
    <dataField name="Average of Meat and fish" fld="4" subtotal="average" baseField="2" baseItem="2" numFmtId="164"/>
    <dataField name="Average of Egg" fld="5" subtotal="average" baseField="2" baseItem="2" numFmtId="164"/>
    <dataField name="Average of Milk and products" fld="6" subtotal="average" baseField="2" baseItem="2" numFmtId="164"/>
    <dataField name="Average of Oils and fats" fld="7" subtotal="average" baseField="2" baseItem="2" numFmtId="164"/>
    <dataField name="Average of Fruits" fld="8" subtotal="average" baseField="2" baseItem="2" numFmtId="164"/>
    <dataField name="Average of Vegetables" fld="9" subtotal="average" baseField="2" baseItem="2" numFmtId="164"/>
    <dataField name="Average of Pulses and products" fld="10" subtotal="average" baseField="2" baseItem="2" numFmtId="164"/>
    <dataField name="Average of Sugar and Confectionery" fld="11" subtotal="average" baseField="2" baseItem="2" numFmtId="164"/>
    <dataField name="Average of Spices" fld="12" subtotal="average" baseField="2" baseItem="2" numFmtId="164"/>
    <dataField name="Average of Prepared meals, snacks, sweets etc." fld="14" subtotal="average" baseField="2" baseItem="2" numFmtId="164"/>
    <dataField name="Average of Food and beverages" fld="16" subtotal="average" baseField="2" baseItem="0" numFmtId="164"/>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4"/>
  </pivotTables>
  <data>
    <tabular pivotCacheId="1969618564">
      <items count="12">
        <i x="0"/>
        <i x="1"/>
        <i x="2"/>
        <i x="3"/>
        <i x="4" s="1"/>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3" name="PivotTable11"/>
  </pivotTables>
  <data>
    <tabular pivotCacheId="5410821">
      <items count="12">
        <i x="0"/>
        <i x="1"/>
        <i x="2" s="1"/>
        <i x="4"/>
        <i x="5"/>
        <i x="6"/>
        <i x="7"/>
        <i x="8"/>
        <i x="9"/>
        <i x="10"/>
        <i x="1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ctor1" sourceName="Sector">
  <pivotTables>
    <pivotTable tabId="3" name="PivotTable1"/>
  </pivotTables>
  <data>
    <tabular pivotCacheId="196961856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7650"/>
  <slicer name="Month 1" cache="Slicer_Month1" caption="Month" rowHeight="247650"/>
  <slicer name="Sector 2" cache="Slicer_Sector1" caption="Sector" rowHeight="247650"/>
</slicers>
</file>

<file path=xl/slicers/slicer2.xml><?xml version="1.0" encoding="utf-8"?>
<slicers xmlns="http://schemas.microsoft.com/office/spreadsheetml/2009/9/main" xmlns:mc="http://schemas.openxmlformats.org/markup-compatibility/2006" xmlns:x="http://schemas.openxmlformats.org/spreadsheetml/2006/main" mc:Ignorable="x">
  <slicer name="Sector 4" cache="Slicer_Sector1" caption="Sector"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42"/>
  <sheetViews>
    <sheetView tabSelected="1" topLeftCell="A131" zoomScale="39" zoomScaleNormal="76" workbookViewId="0">
      <selection activeCell="C162" sqref="C162"/>
    </sheetView>
  </sheetViews>
  <sheetFormatPr defaultRowHeight="14"/>
  <cols>
    <col min="1" max="1" width="12.25" bestFit="1" customWidth="1"/>
    <col min="2" max="2" width="18.75" bestFit="1" customWidth="1"/>
    <col min="3" max="3" width="12.6640625" bestFit="1" customWidth="1"/>
    <col min="4" max="4" width="15.33203125" bestFit="1" customWidth="1"/>
    <col min="5" max="5" width="20" bestFit="1" customWidth="1"/>
    <col min="6" max="6" width="12.75" bestFit="1" customWidth="1"/>
    <col min="7" max="7" width="33" bestFit="1" customWidth="1"/>
    <col min="8" max="8" width="19.6640625" bestFit="1" customWidth="1"/>
    <col min="9" max="9" width="15.75" bestFit="1" customWidth="1"/>
    <col min="10" max="10" width="19.25" bestFit="1" customWidth="1"/>
    <col min="11" max="11" width="27.58203125" bestFit="1" customWidth="1"/>
    <col min="12" max="12" width="31.58203125" bestFit="1" customWidth="1"/>
    <col min="13" max="13" width="16" bestFit="1" customWidth="1"/>
    <col min="14" max="14" width="31.6640625" bestFit="1" customWidth="1"/>
    <col min="15" max="15" width="41.75" bestFit="1" customWidth="1"/>
    <col min="16" max="16" width="27.33203125" bestFit="1" customWidth="1"/>
    <col min="17" max="17" width="35.25" bestFit="1" customWidth="1"/>
    <col min="18" max="18" width="17.33203125" bestFit="1" customWidth="1"/>
    <col min="19" max="19" width="18.25" bestFit="1" customWidth="1"/>
    <col min="20" max="20" width="36.25" bestFit="1" customWidth="1"/>
    <col min="21" max="21" width="15.9140625" bestFit="1" customWidth="1"/>
    <col min="22" max="22" width="36.08203125" bestFit="1" customWidth="1"/>
    <col min="23" max="23" width="33.9140625" bestFit="1" customWidth="1"/>
    <col min="24" max="24" width="18.75" bestFit="1" customWidth="1"/>
    <col min="25" max="25" width="32.25" bestFit="1" customWidth="1"/>
    <col min="26" max="26" width="22.75" bestFit="1" customWidth="1"/>
    <col min="27" max="362" width="15.58203125" bestFit="1" customWidth="1"/>
    <col min="363" max="363" width="10.58203125" bestFit="1" customWidth="1"/>
  </cols>
  <sheetData>
    <row r="1" spans="1:10" ht="14.4">
      <c r="A1" s="6" t="s">
        <v>0</v>
      </c>
      <c r="B1" s="7">
        <v>2023</v>
      </c>
    </row>
    <row r="2" spans="1:10" ht="14.4">
      <c r="A2" s="6" t="s">
        <v>12</v>
      </c>
      <c r="B2" t="s">
        <v>21</v>
      </c>
    </row>
    <row r="3" spans="1:10" ht="14.4" customHeight="1"/>
    <row r="4" spans="1:10" ht="14.4">
      <c r="A4" t="s">
        <v>127</v>
      </c>
      <c r="B4" t="s">
        <v>131</v>
      </c>
      <c r="C4" t="s">
        <v>128</v>
      </c>
      <c r="D4" t="s">
        <v>129</v>
      </c>
      <c r="E4" t="s">
        <v>130</v>
      </c>
      <c r="F4" t="s">
        <v>132</v>
      </c>
      <c r="G4" t="s">
        <v>133</v>
      </c>
      <c r="H4" t="s">
        <v>135</v>
      </c>
      <c r="I4" t="s">
        <v>134</v>
      </c>
      <c r="J4" t="s">
        <v>136</v>
      </c>
    </row>
    <row r="5" spans="1:10" ht="14.4">
      <c r="A5" s="1">
        <v>2112</v>
      </c>
      <c r="B5" s="1">
        <v>182.5</v>
      </c>
      <c r="C5" s="1">
        <v>737.30000000000007</v>
      </c>
      <c r="D5" s="1">
        <v>569.90000000000009</v>
      </c>
      <c r="E5" s="1">
        <v>355.4</v>
      </c>
      <c r="F5" s="1">
        <v>187.8</v>
      </c>
      <c r="G5" s="1">
        <v>169.7</v>
      </c>
      <c r="H5" s="1">
        <v>179.5</v>
      </c>
      <c r="I5" s="1">
        <v>180.3</v>
      </c>
      <c r="J5" s="1">
        <v>179.8</v>
      </c>
    </row>
    <row r="6" spans="1:10" ht="14.4">
      <c r="A6" s="32" t="s">
        <v>186</v>
      </c>
      <c r="B6" s="33" t="s">
        <v>151</v>
      </c>
      <c r="C6" s="33" t="s">
        <v>187</v>
      </c>
      <c r="D6" s="33" t="s">
        <v>188</v>
      </c>
      <c r="E6" s="33" t="s">
        <v>189</v>
      </c>
      <c r="F6" s="33" t="s">
        <v>169</v>
      </c>
      <c r="G6" s="33" t="s">
        <v>170</v>
      </c>
      <c r="H6" s="33" t="s">
        <v>174</v>
      </c>
      <c r="I6" s="34" t="s">
        <v>172</v>
      </c>
    </row>
    <row r="7" spans="1:10" ht="14.4">
      <c r="A7" s="5">
        <f>A5/SUM($A$5:$I$5)*100</f>
        <v>45.182269382166687</v>
      </c>
      <c r="B7" s="5">
        <f t="shared" ref="B7:I7" si="0">B5/SUM($A$5:$I$5)*100</f>
        <v>3.9042443950025665</v>
      </c>
      <c r="C7" s="5">
        <f t="shared" si="0"/>
        <v>15.773147355810371</v>
      </c>
      <c r="D7" s="5">
        <f t="shared" si="0"/>
        <v>12.191939072394318</v>
      </c>
      <c r="E7" s="5">
        <f t="shared" si="0"/>
        <v>7.603114838268012</v>
      </c>
      <c r="F7" s="5">
        <f t="shared" si="0"/>
        <v>4.0176279308574365</v>
      </c>
      <c r="G7" s="5">
        <f t="shared" si="0"/>
        <v>3.6304124593530709</v>
      </c>
      <c r="H7" s="5">
        <f t="shared" si="0"/>
        <v>3.8400650350847165</v>
      </c>
      <c r="I7" s="5">
        <f t="shared" si="0"/>
        <v>3.8571795310628101</v>
      </c>
    </row>
    <row r="8" spans="1:10">
      <c r="A8" s="56" t="s">
        <v>123</v>
      </c>
      <c r="B8" s="57"/>
      <c r="C8" s="1"/>
      <c r="D8" s="1"/>
      <c r="E8" s="1"/>
      <c r="F8" s="1"/>
    </row>
    <row r="9" spans="1:10">
      <c r="A9" s="57"/>
      <c r="B9" s="57"/>
    </row>
    <row r="21" spans="1:11" ht="14.4">
      <c r="A21" s="1"/>
      <c r="B21" s="1"/>
      <c r="C21" s="1"/>
      <c r="D21" s="1"/>
      <c r="E21" s="1"/>
      <c r="F21" s="1"/>
      <c r="G21" s="1"/>
      <c r="H21" s="1"/>
      <c r="I21" s="1"/>
      <c r="J21" s="1"/>
    </row>
    <row r="22" spans="1:11" ht="14.4">
      <c r="A22" s="5"/>
      <c r="B22" s="5"/>
      <c r="C22" s="5"/>
      <c r="D22" s="5"/>
      <c r="E22" s="5"/>
      <c r="F22" s="5"/>
      <c r="G22" s="5"/>
      <c r="H22" s="5"/>
      <c r="I22" s="5"/>
    </row>
    <row r="24" spans="1:11" ht="14.4" customHeight="1">
      <c r="A24" s="58" t="s">
        <v>184</v>
      </c>
      <c r="B24" s="59"/>
      <c r="C24" s="59"/>
      <c r="D24" s="59"/>
      <c r="E24" s="59"/>
      <c r="F24" s="59"/>
      <c r="G24" s="59"/>
      <c r="H24" s="59"/>
      <c r="I24" s="60"/>
    </row>
    <row r="25" spans="1:11">
      <c r="A25" s="61"/>
      <c r="B25" s="62"/>
      <c r="C25" s="62"/>
      <c r="D25" s="62"/>
      <c r="E25" s="62"/>
      <c r="F25" s="62"/>
      <c r="G25" s="62"/>
      <c r="H25" s="62"/>
      <c r="I25" s="63"/>
    </row>
    <row r="26" spans="1:11">
      <c r="A26" s="64"/>
      <c r="B26" s="65"/>
      <c r="C26" s="65"/>
      <c r="D26" s="65"/>
      <c r="E26" s="65"/>
      <c r="F26" s="65"/>
      <c r="G26" s="65"/>
      <c r="H26" s="65"/>
      <c r="I26" s="66"/>
    </row>
    <row r="27" spans="1:11" ht="14.4">
      <c r="G27" t="s">
        <v>137</v>
      </c>
    </row>
    <row r="28" spans="1:11" ht="14.4">
      <c r="B28" s="1"/>
      <c r="C28" s="1"/>
      <c r="D28" s="1"/>
      <c r="E28" s="1"/>
      <c r="F28" s="1"/>
      <c r="G28" s="1"/>
      <c r="H28" s="1"/>
      <c r="I28" s="1"/>
      <c r="J28" s="1"/>
      <c r="K28" s="1"/>
    </row>
    <row r="29" spans="1:11" ht="14.4">
      <c r="B29" s="5"/>
      <c r="C29" s="5"/>
      <c r="D29" s="5"/>
      <c r="E29" s="5"/>
      <c r="F29" s="5"/>
      <c r="G29" s="5"/>
      <c r="H29" s="5"/>
      <c r="I29" s="5"/>
      <c r="J29" s="5"/>
      <c r="K29" s="5"/>
    </row>
    <row r="32" spans="1:11" ht="14.4" customHeight="1">
      <c r="A32" s="13"/>
      <c r="B32" s="14"/>
      <c r="C32" s="15"/>
    </row>
    <row r="33" spans="1:20">
      <c r="A33" s="61" t="s">
        <v>4</v>
      </c>
      <c r="B33" s="110"/>
      <c r="C33" s="111"/>
    </row>
    <row r="34" spans="1:20">
      <c r="A34" s="112"/>
      <c r="B34" s="113"/>
      <c r="C34" s="114"/>
    </row>
    <row r="36" spans="1:20" ht="14.4">
      <c r="H36" s="7"/>
      <c r="I36" s="1"/>
      <c r="J36" s="1"/>
      <c r="K36" s="1"/>
      <c r="L36" s="1"/>
      <c r="M36" s="1"/>
      <c r="N36" s="1"/>
      <c r="O36" s="1"/>
      <c r="P36" s="1"/>
      <c r="Q36" s="1"/>
      <c r="R36" s="1"/>
      <c r="T36" s="1"/>
    </row>
    <row r="37" spans="1:20" ht="14.4">
      <c r="H37" s="7"/>
      <c r="I37" s="1"/>
      <c r="J37" s="1"/>
      <c r="K37" s="1"/>
      <c r="L37" s="1"/>
      <c r="M37" s="1"/>
      <c r="N37" s="1"/>
      <c r="O37" s="1"/>
      <c r="P37" s="1"/>
      <c r="Q37" s="1"/>
      <c r="R37" s="1"/>
    </row>
    <row r="38" spans="1:20" ht="14.4">
      <c r="H38" s="7"/>
      <c r="I38" s="1"/>
      <c r="J38" s="1"/>
      <c r="K38" s="1"/>
      <c r="L38" s="1"/>
      <c r="M38" s="1"/>
      <c r="N38" s="1"/>
      <c r="O38" s="1"/>
      <c r="P38" s="1"/>
      <c r="Q38" s="1"/>
      <c r="R38" s="1"/>
    </row>
    <row r="39" spans="1:20" ht="14.4">
      <c r="H39" s="7"/>
      <c r="I39" s="1"/>
      <c r="J39" s="1"/>
      <c r="K39" s="1"/>
      <c r="L39" s="1"/>
      <c r="M39" s="1"/>
      <c r="N39" s="1"/>
      <c r="O39" s="1"/>
      <c r="P39" s="1"/>
      <c r="Q39" s="1"/>
      <c r="R39" s="1"/>
    </row>
    <row r="40" spans="1:20" ht="14.4">
      <c r="H40" s="7"/>
      <c r="I40" s="1"/>
      <c r="J40" s="1"/>
      <c r="K40" s="1"/>
      <c r="L40" s="1"/>
      <c r="M40" s="1"/>
      <c r="N40" s="1"/>
      <c r="O40" s="1"/>
      <c r="P40" s="1"/>
      <c r="Q40" s="1"/>
      <c r="R40" s="1"/>
    </row>
    <row r="41" spans="1:20" ht="14.4">
      <c r="H41" s="7"/>
      <c r="I41" s="1"/>
      <c r="J41" s="1"/>
      <c r="K41" s="1"/>
      <c r="L41" s="1"/>
      <c r="M41" s="1"/>
      <c r="N41" s="1"/>
      <c r="O41" s="1"/>
      <c r="P41" s="1"/>
      <c r="Q41" s="1"/>
      <c r="R41" s="1"/>
    </row>
    <row r="42" spans="1:20" ht="14.4">
      <c r="H42" s="7"/>
      <c r="I42" s="1"/>
      <c r="J42" s="1"/>
      <c r="K42" s="1"/>
      <c r="L42" s="1"/>
      <c r="M42" s="1"/>
      <c r="N42" s="1"/>
      <c r="O42" s="1"/>
      <c r="P42" s="1"/>
      <c r="Q42" s="1"/>
      <c r="R42" s="1"/>
    </row>
    <row r="43" spans="1:20" ht="14.4">
      <c r="H43" s="1"/>
    </row>
    <row r="44" spans="1:20" ht="14.4">
      <c r="H44" s="7"/>
      <c r="I44" s="1"/>
      <c r="J44" s="1"/>
      <c r="K44" s="1"/>
      <c r="L44" s="1"/>
      <c r="M44" s="1"/>
      <c r="N44" s="1"/>
      <c r="O44" s="1"/>
      <c r="P44" s="1"/>
      <c r="Q44" s="1"/>
      <c r="R44" s="1"/>
    </row>
    <row r="45" spans="1:20" ht="14.4">
      <c r="H45" s="7"/>
      <c r="I45" s="1"/>
      <c r="J45" s="1"/>
      <c r="K45" s="1"/>
      <c r="L45" s="1"/>
      <c r="M45" s="1"/>
      <c r="N45" s="1"/>
      <c r="O45" s="1"/>
      <c r="P45" s="1"/>
      <c r="Q45" s="1"/>
      <c r="R45" s="1"/>
    </row>
    <row r="46" spans="1:20" ht="14.4">
      <c r="H46" s="7"/>
      <c r="I46" s="1"/>
      <c r="J46" s="1"/>
      <c r="K46" s="1"/>
      <c r="L46" s="1"/>
      <c r="M46" s="1"/>
      <c r="N46" s="1"/>
      <c r="O46" s="1"/>
      <c r="P46" s="1"/>
      <c r="Q46" s="1"/>
      <c r="R46" s="1"/>
    </row>
    <row r="49" spans="1:20" ht="14.4">
      <c r="A49" s="6" t="s">
        <v>5</v>
      </c>
      <c r="B49" t="s">
        <v>6</v>
      </c>
    </row>
    <row r="51" spans="1:20" ht="14.4">
      <c r="A51" s="6" t="s">
        <v>7</v>
      </c>
      <c r="B51" t="s">
        <v>97</v>
      </c>
      <c r="C51" t="s">
        <v>120</v>
      </c>
      <c r="D51" t="s">
        <v>122</v>
      </c>
      <c r="E51" t="s">
        <v>121</v>
      </c>
      <c r="F51" t="s">
        <v>2</v>
      </c>
      <c r="G51" t="s">
        <v>74</v>
      </c>
      <c r="H51" t="s">
        <v>76</v>
      </c>
      <c r="I51" t="s">
        <v>77</v>
      </c>
      <c r="J51" t="s">
        <v>119</v>
      </c>
    </row>
    <row r="52" spans="1:20" ht="14.4">
      <c r="A52" s="7">
        <v>2017</v>
      </c>
      <c r="B52" s="1">
        <v>1592</v>
      </c>
      <c r="C52" s="1">
        <v>406.8</v>
      </c>
      <c r="D52" s="1">
        <v>522.5</v>
      </c>
      <c r="E52" s="1">
        <v>263</v>
      </c>
      <c r="F52" s="1">
        <v>129.4</v>
      </c>
      <c r="G52" s="1">
        <v>128.4</v>
      </c>
      <c r="H52" s="1">
        <v>116.7</v>
      </c>
      <c r="I52" s="1">
        <v>134.80000000000001</v>
      </c>
      <c r="J52" s="1">
        <v>125.3</v>
      </c>
    </row>
    <row r="53" spans="1:20" ht="14.4">
      <c r="A53" s="7">
        <v>2018</v>
      </c>
      <c r="B53" s="1">
        <v>1629.8999999999996</v>
      </c>
      <c r="C53" s="1">
        <v>428.09999999999997</v>
      </c>
      <c r="D53" s="1">
        <v>549.5</v>
      </c>
      <c r="E53" s="1">
        <v>280.60000000000002</v>
      </c>
      <c r="F53" s="1">
        <v>136.9</v>
      </c>
      <c r="G53" s="1">
        <v>136</v>
      </c>
      <c r="H53" s="1">
        <v>122.9</v>
      </c>
      <c r="I53" s="1">
        <v>142.1</v>
      </c>
      <c r="J53" s="1">
        <v>132.1</v>
      </c>
    </row>
    <row r="54" spans="1:20" ht="14.4">
      <c r="A54" s="7">
        <v>2019</v>
      </c>
      <c r="B54" s="1">
        <v>1657.8999999999999</v>
      </c>
      <c r="C54" s="1">
        <v>436.1</v>
      </c>
      <c r="D54" s="1">
        <v>570.70000000000005</v>
      </c>
      <c r="E54" s="1">
        <v>293.79999999999995</v>
      </c>
      <c r="F54" s="1">
        <v>140.30000000000001</v>
      </c>
      <c r="G54" s="1">
        <v>146.9</v>
      </c>
      <c r="H54" s="1">
        <v>124.9</v>
      </c>
      <c r="I54" s="1">
        <v>151.6</v>
      </c>
      <c r="J54" s="1">
        <v>138.19999999999999</v>
      </c>
    </row>
    <row r="55" spans="1:20" ht="14.4">
      <c r="A55" s="7">
        <v>2020</v>
      </c>
      <c r="B55" s="1">
        <v>1850.6299999999997</v>
      </c>
      <c r="C55" s="1">
        <v>447.72</v>
      </c>
      <c r="D55" s="1">
        <v>614.54</v>
      </c>
      <c r="E55" s="1">
        <v>147.65</v>
      </c>
      <c r="F55" s="1">
        <v>144.16363636363633</v>
      </c>
      <c r="G55" s="1">
        <v>154.28181818181815</v>
      </c>
      <c r="H55" s="1">
        <v>136.09</v>
      </c>
      <c r="I55" s="1">
        <v>157.36999999999998</v>
      </c>
      <c r="J55" s="1">
        <v>147.61000000000001</v>
      </c>
    </row>
    <row r="56" spans="1:20" ht="14.4">
      <c r="A56" s="7">
        <v>2021</v>
      </c>
      <c r="B56" s="1">
        <v>1946.3999999999999</v>
      </c>
      <c r="C56" s="1">
        <v>474.29999999999995</v>
      </c>
      <c r="D56" s="1">
        <v>665.6</v>
      </c>
      <c r="E56" s="1">
        <v>316.29999999999995</v>
      </c>
      <c r="F56" s="1">
        <v>159.4</v>
      </c>
      <c r="G56" s="1">
        <v>165.8</v>
      </c>
      <c r="H56" s="1">
        <v>148.9</v>
      </c>
      <c r="I56" s="1">
        <v>161.19999999999999</v>
      </c>
      <c r="J56" s="1">
        <v>156.80000000000001</v>
      </c>
    </row>
    <row r="57" spans="1:20" ht="14.4">
      <c r="A57" s="7">
        <v>2022</v>
      </c>
      <c r="B57" s="1">
        <v>2071.8000000000002</v>
      </c>
      <c r="C57" s="1">
        <v>518.6</v>
      </c>
      <c r="D57" s="1">
        <v>694.69999999999993</v>
      </c>
      <c r="E57" s="1">
        <v>332.7</v>
      </c>
      <c r="F57" s="1">
        <v>174.6</v>
      </c>
      <c r="G57" s="1">
        <v>174.8</v>
      </c>
      <c r="H57" s="1">
        <v>163</v>
      </c>
      <c r="I57" s="1">
        <v>167.9</v>
      </c>
      <c r="J57" s="1">
        <v>167.5</v>
      </c>
    </row>
    <row r="58" spans="1:20" ht="14.4">
      <c r="A58" s="7">
        <v>2023</v>
      </c>
      <c r="B58" s="1">
        <v>2133.5</v>
      </c>
      <c r="C58" s="1">
        <v>553.20000000000005</v>
      </c>
      <c r="D58" s="1">
        <v>730.8</v>
      </c>
      <c r="E58" s="1">
        <v>350.79999999999995</v>
      </c>
      <c r="F58" s="1">
        <v>182.8</v>
      </c>
      <c r="G58" s="1">
        <v>185.7</v>
      </c>
      <c r="H58" s="1">
        <v>164.8</v>
      </c>
      <c r="I58" s="1">
        <v>177.1</v>
      </c>
      <c r="J58" s="1">
        <v>175.7</v>
      </c>
    </row>
    <row r="59" spans="1:20" ht="14.4">
      <c r="A59" s="7" t="s">
        <v>8</v>
      </c>
      <c r="B59" s="1">
        <v>1840.3042857142852</v>
      </c>
      <c r="C59" s="1">
        <v>466.4028571428571</v>
      </c>
      <c r="D59" s="1">
        <v>621.19142857142845</v>
      </c>
      <c r="E59" s="1">
        <v>283.55</v>
      </c>
      <c r="F59" s="1">
        <v>152.5090909090909</v>
      </c>
      <c r="G59" s="1">
        <v>155.98311688311688</v>
      </c>
      <c r="H59" s="1">
        <v>139.61285714285714</v>
      </c>
      <c r="I59" s="1">
        <v>156.01</v>
      </c>
      <c r="J59" s="1">
        <v>149.03</v>
      </c>
    </row>
    <row r="62" spans="1:20" ht="14.4">
      <c r="B62" s="1"/>
      <c r="C62" s="1"/>
      <c r="D62" s="1"/>
      <c r="E62" s="1"/>
      <c r="F62" s="1"/>
      <c r="G62" s="1"/>
      <c r="H62" s="1"/>
      <c r="K62" s="7"/>
      <c r="L62" s="1"/>
      <c r="M62" s="1"/>
      <c r="N62" s="1"/>
      <c r="O62" s="1"/>
      <c r="P62" s="1"/>
      <c r="Q62" s="1"/>
      <c r="R62" s="1"/>
      <c r="S62" s="1"/>
      <c r="T62" s="1"/>
    </row>
    <row r="63" spans="1:20">
      <c r="A63" s="7"/>
      <c r="B63" s="10" t="s">
        <v>104</v>
      </c>
      <c r="C63" s="10" t="s">
        <v>105</v>
      </c>
      <c r="D63" s="1"/>
      <c r="E63" s="67" t="s">
        <v>126</v>
      </c>
      <c r="F63" s="68"/>
      <c r="G63" s="68"/>
      <c r="H63" s="68"/>
      <c r="I63" s="69"/>
      <c r="K63" s="7"/>
      <c r="L63" s="1"/>
      <c r="M63" s="1"/>
      <c r="N63" s="1"/>
      <c r="O63" s="1"/>
      <c r="P63" s="1"/>
      <c r="Q63" s="1"/>
      <c r="R63" s="1"/>
      <c r="S63" s="1"/>
      <c r="T63" s="1"/>
    </row>
    <row r="64" spans="1:20">
      <c r="A64" s="7"/>
      <c r="B64" s="38" t="s">
        <v>98</v>
      </c>
      <c r="C64" s="36">
        <v>4.0714849805492666</v>
      </c>
      <c r="D64" s="12"/>
      <c r="E64" s="70"/>
      <c r="F64" s="71"/>
      <c r="G64" s="71"/>
      <c r="H64" s="71"/>
      <c r="I64" s="72"/>
      <c r="K64" s="7"/>
      <c r="L64" s="1"/>
      <c r="M64" s="1"/>
      <c r="N64" s="1"/>
      <c r="O64" s="1"/>
      <c r="P64" s="1"/>
      <c r="Q64" s="1"/>
      <c r="R64" s="1"/>
      <c r="S64" s="1"/>
      <c r="T64" s="1"/>
    </row>
    <row r="65" spans="1:20">
      <c r="A65" s="7"/>
      <c r="B65" s="7" t="s">
        <v>99</v>
      </c>
      <c r="C65" s="5">
        <v>2.8751299851044281</v>
      </c>
      <c r="D65" s="1"/>
      <c r="E65" s="73"/>
      <c r="F65" s="74"/>
      <c r="G65" s="74"/>
      <c r="H65" s="74"/>
      <c r="I65" s="75"/>
      <c r="K65" s="7"/>
      <c r="L65" s="1"/>
      <c r="M65" s="1"/>
      <c r="N65" s="1"/>
      <c r="O65" s="1"/>
      <c r="P65" s="1"/>
      <c r="Q65" s="1"/>
      <c r="R65" s="1"/>
      <c r="S65" s="1"/>
      <c r="T65" s="1"/>
    </row>
    <row r="66" spans="1:20" ht="14.4">
      <c r="A66" s="7"/>
      <c r="B66" s="7" t="s">
        <v>100</v>
      </c>
      <c r="C66" s="5">
        <v>3.8153058284737655</v>
      </c>
      <c r="D66" s="1"/>
      <c r="E66" s="1"/>
      <c r="F66" s="1"/>
      <c r="G66" s="1"/>
      <c r="H66" s="1"/>
      <c r="K66" s="7"/>
      <c r="L66" s="1"/>
      <c r="M66" s="1"/>
      <c r="N66" s="1"/>
      <c r="O66" s="1"/>
      <c r="P66" s="1"/>
      <c r="Q66" s="1"/>
      <c r="R66" s="1"/>
      <c r="S66" s="1"/>
      <c r="T66" s="1"/>
    </row>
    <row r="67" spans="1:20" ht="14.4">
      <c r="A67" s="7"/>
      <c r="B67" s="39" t="s">
        <v>101</v>
      </c>
      <c r="C67" s="40">
        <v>10.38523122030996</v>
      </c>
      <c r="D67" s="12" t="s">
        <v>15</v>
      </c>
      <c r="E67" s="1"/>
      <c r="F67" s="1"/>
      <c r="G67" s="1"/>
      <c r="H67" s="1"/>
      <c r="K67" s="7"/>
      <c r="L67" s="1"/>
      <c r="M67" s="1"/>
      <c r="N67" s="1"/>
      <c r="O67" s="1"/>
      <c r="P67" s="1"/>
      <c r="Q67" s="1"/>
      <c r="R67" s="1"/>
      <c r="S67" s="1"/>
      <c r="T67" s="1"/>
    </row>
    <row r="68" spans="1:20" ht="14.4">
      <c r="A68" s="7"/>
      <c r="B68" s="7" t="s">
        <v>103</v>
      </c>
      <c r="C68" s="5">
        <v>6.4581495696950837</v>
      </c>
      <c r="D68" s="1"/>
      <c r="E68" s="1"/>
      <c r="F68" s="1"/>
      <c r="G68" s="1"/>
      <c r="H68" s="1"/>
    </row>
    <row r="69" spans="1:20" ht="14.4">
      <c r="A69" s="7"/>
      <c r="B69" s="7" t="s">
        <v>102</v>
      </c>
      <c r="C69" s="5">
        <v>4.2278753135077283</v>
      </c>
      <c r="D69" s="1"/>
      <c r="K69" s="7"/>
      <c r="L69" s="1"/>
      <c r="M69" s="1"/>
      <c r="N69" s="1"/>
      <c r="O69" s="1"/>
      <c r="P69" s="1"/>
      <c r="Q69" s="1"/>
      <c r="R69" s="1"/>
      <c r="S69" s="1"/>
      <c r="T69" s="1"/>
    </row>
    <row r="70" spans="1:20" ht="14.4">
      <c r="B70" s="7"/>
      <c r="C70" s="1"/>
      <c r="D70" s="1"/>
      <c r="K70" s="7"/>
      <c r="L70" s="1"/>
      <c r="M70" s="1"/>
      <c r="N70" s="1"/>
      <c r="O70" s="1"/>
      <c r="P70" s="1"/>
      <c r="Q70" s="1"/>
      <c r="R70" s="1"/>
      <c r="S70" s="1"/>
      <c r="T70" s="1"/>
    </row>
    <row r="71" spans="1:20" ht="14.4">
      <c r="K71" s="7"/>
      <c r="L71" s="1"/>
      <c r="M71" s="1"/>
      <c r="N71" s="1"/>
      <c r="O71" s="1"/>
      <c r="P71" s="1"/>
      <c r="Q71" s="1"/>
      <c r="R71" s="1"/>
      <c r="S71" s="1"/>
      <c r="T71" s="1"/>
    </row>
    <row r="72" spans="1:20" ht="14.4">
      <c r="K72" s="7"/>
      <c r="L72" s="1"/>
      <c r="M72" s="1"/>
      <c r="N72" s="1"/>
      <c r="O72" s="1"/>
      <c r="P72" s="1"/>
      <c r="Q72" s="1"/>
      <c r="R72" s="1"/>
      <c r="S72" s="1"/>
      <c r="T72" s="1"/>
    </row>
    <row r="73" spans="1:20">
      <c r="A73" s="76" t="s">
        <v>9</v>
      </c>
      <c r="B73" s="77"/>
      <c r="C73" s="78"/>
      <c r="K73" s="7"/>
      <c r="L73" s="1"/>
      <c r="M73" s="1"/>
      <c r="N73" s="1"/>
      <c r="O73" s="1"/>
      <c r="P73" s="1"/>
      <c r="Q73" s="1"/>
      <c r="R73" s="1"/>
      <c r="S73" s="1"/>
      <c r="T73" s="1"/>
    </row>
    <row r="74" spans="1:20">
      <c r="A74" s="79"/>
      <c r="B74" s="80"/>
      <c r="C74" s="81"/>
      <c r="K74" s="7"/>
      <c r="L74" s="1"/>
      <c r="M74" s="1"/>
      <c r="N74" s="1"/>
      <c r="O74" s="1"/>
      <c r="P74" s="1"/>
      <c r="Q74" s="1"/>
      <c r="R74" s="1"/>
      <c r="S74" s="1"/>
      <c r="T74" s="1"/>
    </row>
    <row r="75" spans="1:20">
      <c r="A75" s="82"/>
      <c r="B75" s="83"/>
      <c r="C75" s="84"/>
    </row>
    <row r="77" spans="1:20">
      <c r="A77" s="86" t="s">
        <v>10</v>
      </c>
      <c r="B77" s="87"/>
      <c r="C77" s="87"/>
      <c r="D77" s="88"/>
      <c r="K77" s="7"/>
    </row>
    <row r="78" spans="1:20" ht="14.4" customHeight="1">
      <c r="A78" s="89"/>
      <c r="B78" s="90"/>
      <c r="C78" s="90"/>
      <c r="D78" s="91"/>
      <c r="K78" s="7"/>
    </row>
    <row r="79" spans="1:20" ht="14.4" customHeight="1">
      <c r="A79" s="89"/>
      <c r="B79" s="90"/>
      <c r="C79" s="90"/>
      <c r="D79" s="91"/>
      <c r="K79" s="7"/>
    </row>
    <row r="80" spans="1:20" ht="14.4" customHeight="1">
      <c r="A80" s="89"/>
      <c r="B80" s="90"/>
      <c r="C80" s="90"/>
      <c r="D80" s="91"/>
      <c r="K80" s="35"/>
    </row>
    <row r="81" spans="1:11" ht="14.4" customHeight="1">
      <c r="A81" s="92"/>
      <c r="B81" s="93"/>
      <c r="C81" s="93"/>
      <c r="D81" s="94"/>
      <c r="K81" s="7"/>
    </row>
    <row r="82" spans="1:11" ht="14.4">
      <c r="K82" s="7"/>
    </row>
    <row r="85" spans="1:11">
      <c r="A85" s="58" t="s">
        <v>4</v>
      </c>
      <c r="B85" s="95"/>
      <c r="C85" s="96"/>
    </row>
    <row r="86" spans="1:11">
      <c r="A86" s="97"/>
      <c r="B86" s="98"/>
      <c r="C86" s="99"/>
    </row>
    <row r="87" spans="1:11" ht="14.4">
      <c r="A87" t="e" vm="1">
        <v>#VALUE!</v>
      </c>
      <c r="F87" s="41"/>
    </row>
    <row r="88" spans="1:11" ht="14.4">
      <c r="F88" s="7"/>
      <c r="G88" s="41"/>
    </row>
    <row r="89" spans="1:11" ht="14.4">
      <c r="F89" s="7"/>
      <c r="G89" s="41"/>
    </row>
    <row r="90" spans="1:11" ht="14.4">
      <c r="F90" s="7"/>
      <c r="G90" s="41"/>
    </row>
    <row r="91" spans="1:11" ht="14.4">
      <c r="F91" s="7"/>
      <c r="G91" s="41"/>
    </row>
    <row r="92" spans="1:11" ht="14.4">
      <c r="F92" s="7"/>
      <c r="G92" s="41"/>
    </row>
    <row r="93" spans="1:11" ht="14.4">
      <c r="F93" s="7"/>
      <c r="G93" s="41"/>
    </row>
    <row r="94" spans="1:11" ht="14.4">
      <c r="F94" s="7"/>
      <c r="G94" s="41"/>
    </row>
    <row r="95" spans="1:11" ht="14.4">
      <c r="F95" s="41"/>
    </row>
    <row r="96" spans="1:11" ht="14.4">
      <c r="G96" s="41"/>
    </row>
    <row r="97" spans="1:7" ht="14.4">
      <c r="G97" s="41"/>
    </row>
    <row r="98" spans="1:7" ht="14.4">
      <c r="G98" s="41"/>
    </row>
    <row r="99" spans="1:7" ht="14.4">
      <c r="F99" s="7"/>
      <c r="G99" s="1"/>
    </row>
    <row r="103" spans="1:7" ht="14.4">
      <c r="A103" s="6" t="s">
        <v>0</v>
      </c>
      <c r="B103" s="7">
        <v>2023</v>
      </c>
    </row>
    <row r="105" spans="1:7" ht="14.4">
      <c r="A105" s="6" t="s">
        <v>7</v>
      </c>
      <c r="B105" t="s">
        <v>97</v>
      </c>
      <c r="D105" s="9" t="s">
        <v>106</v>
      </c>
      <c r="E105" s="9" t="s">
        <v>107</v>
      </c>
    </row>
    <row r="106" spans="1:7" ht="14.4">
      <c r="A106" s="7" t="s">
        <v>11</v>
      </c>
      <c r="B106" s="1">
        <v>2124.6999999999998</v>
      </c>
      <c r="D106" s="11" t="s">
        <v>16</v>
      </c>
      <c r="E106" s="16">
        <v>1.0820182690918445</v>
      </c>
      <c r="F106" s="19" t="s">
        <v>108</v>
      </c>
    </row>
    <row r="107" spans="1:7" ht="14.4">
      <c r="A107" s="7" t="s">
        <v>14</v>
      </c>
      <c r="B107" s="1">
        <v>2111.0666666666671</v>
      </c>
      <c r="D107" s="7" t="s">
        <v>18</v>
      </c>
      <c r="E107" s="4">
        <v>0.17787659811002934</v>
      </c>
      <c r="F107" s="4"/>
    </row>
    <row r="108" spans="1:7" ht="14.4">
      <c r="A108" s="7" t="s">
        <v>17</v>
      </c>
      <c r="B108" s="1">
        <v>2111.2000000000007</v>
      </c>
      <c r="D108" s="7" t="s">
        <v>20</v>
      </c>
      <c r="E108" s="4">
        <v>0.10939011049989555</v>
      </c>
      <c r="F108" s="4"/>
    </row>
    <row r="109" spans="1:7" ht="14.4">
      <c r="A109" s="7" t="s">
        <v>19</v>
      </c>
      <c r="B109" s="1">
        <v>2121.6333333333332</v>
      </c>
      <c r="D109" s="7" t="s">
        <v>22</v>
      </c>
      <c r="E109" s="4">
        <v>0.54793652804611381</v>
      </c>
      <c r="F109" s="4"/>
    </row>
    <row r="110" spans="1:7" ht="14.4">
      <c r="A110" s="7" t="s">
        <v>21</v>
      </c>
      <c r="B110" s="1">
        <v>2138.2333333333336</v>
      </c>
      <c r="D110" s="7" t="s">
        <v>24</v>
      </c>
      <c r="E110" s="4">
        <v>0.7497007497007554</v>
      </c>
      <c r="F110" s="4"/>
    </row>
    <row r="111" spans="1:7" ht="14.4">
      <c r="A111" s="7" t="s">
        <v>8</v>
      </c>
      <c r="B111" s="1">
        <v>2121.3666666666668</v>
      </c>
      <c r="D111" s="7" t="s">
        <v>26</v>
      </c>
      <c r="E111" s="4">
        <v>-0.10630315157577651</v>
      </c>
      <c r="F111" s="4"/>
    </row>
    <row r="112" spans="1:7" ht="14.4">
      <c r="D112" s="17" t="s">
        <v>28</v>
      </c>
      <c r="E112" s="18">
        <v>-0.69327073552426643</v>
      </c>
      <c r="F112" s="19" t="s">
        <v>109</v>
      </c>
    </row>
    <row r="113" spans="1:17" ht="14.4">
      <c r="D113" s="7" t="s">
        <v>30</v>
      </c>
      <c r="E113" s="4">
        <v>0.44754715791794009</v>
      </c>
      <c r="F113" s="4"/>
    </row>
    <row r="114" spans="1:17" ht="14.4">
      <c r="D114" s="42" t="s">
        <v>32</v>
      </c>
      <c r="E114" s="43">
        <v>-0.64165921463419584</v>
      </c>
      <c r="F114" s="19"/>
    </row>
    <row r="115" spans="1:17" ht="14.4">
      <c r="D115" t="s">
        <v>34</v>
      </c>
      <c r="E115" s="4">
        <v>6.3159224404882273E-3</v>
      </c>
      <c r="F115" s="4"/>
    </row>
    <row r="116" spans="1:17" ht="14.4">
      <c r="D116" t="s">
        <v>36</v>
      </c>
      <c r="E116" s="4">
        <v>0.49418971832760905</v>
      </c>
      <c r="F116" s="4"/>
    </row>
    <row r="117" spans="1:17" ht="14.4">
      <c r="D117" t="s">
        <v>37</v>
      </c>
      <c r="E117" s="4">
        <v>0.78241606309605949</v>
      </c>
      <c r="F117" s="4"/>
    </row>
    <row r="118" spans="1:17" ht="14.4">
      <c r="E118" s="1"/>
    </row>
    <row r="119" spans="1:17" ht="14.4">
      <c r="E119" s="1"/>
    </row>
    <row r="120" spans="1:17">
      <c r="C120" s="115" t="s">
        <v>138</v>
      </c>
      <c r="D120" s="116"/>
      <c r="E120" s="116"/>
      <c r="F120" s="116"/>
      <c r="G120" s="116"/>
      <c r="H120" s="116"/>
      <c r="I120" s="116"/>
      <c r="J120" s="116"/>
      <c r="K120" s="116"/>
      <c r="L120" s="117"/>
    </row>
    <row r="121" spans="1:17">
      <c r="C121" s="118"/>
      <c r="D121" s="119"/>
      <c r="E121" s="119"/>
      <c r="F121" s="119"/>
      <c r="G121" s="119"/>
      <c r="H121" s="119"/>
      <c r="I121" s="119"/>
      <c r="J121" s="119"/>
      <c r="K121" s="119"/>
      <c r="L121" s="120"/>
    </row>
    <row r="122" spans="1:17">
      <c r="C122" s="118"/>
      <c r="D122" s="119"/>
      <c r="E122" s="119"/>
      <c r="F122" s="119"/>
      <c r="G122" s="119"/>
      <c r="H122" s="119"/>
      <c r="I122" s="119"/>
      <c r="J122" s="119"/>
      <c r="K122" s="119"/>
      <c r="L122" s="120"/>
    </row>
    <row r="123" spans="1:17">
      <c r="C123" s="121"/>
      <c r="D123" s="122"/>
      <c r="E123" s="122"/>
      <c r="F123" s="122"/>
      <c r="G123" s="122"/>
      <c r="H123" s="122"/>
      <c r="I123" s="122"/>
      <c r="J123" s="122"/>
      <c r="K123" s="122"/>
      <c r="L123" s="123"/>
    </row>
    <row r="124" spans="1:17" ht="14.4">
      <c r="A124" s="6" t="s">
        <v>0</v>
      </c>
      <c r="B124" s="7">
        <v>2023</v>
      </c>
    </row>
    <row r="125" spans="1:17" ht="14.4">
      <c r="P125" s="1"/>
      <c r="Q125" s="5"/>
    </row>
    <row r="126" spans="1:17" ht="14.4">
      <c r="A126" s="6" t="s">
        <v>7</v>
      </c>
      <c r="B126" t="s">
        <v>38</v>
      </c>
      <c r="C126" t="s">
        <v>39</v>
      </c>
      <c r="D126" t="s">
        <v>40</v>
      </c>
      <c r="E126" t="s">
        <v>41</v>
      </c>
      <c r="F126" t="s">
        <v>42</v>
      </c>
      <c r="G126" t="s">
        <v>43</v>
      </c>
      <c r="H126" t="s">
        <v>44</v>
      </c>
      <c r="I126" t="s">
        <v>46</v>
      </c>
      <c r="J126" t="s">
        <v>45</v>
      </c>
      <c r="K126" t="s">
        <v>47</v>
      </c>
      <c r="L126" t="s">
        <v>110</v>
      </c>
      <c r="M126" t="s">
        <v>139</v>
      </c>
      <c r="P126" s="1"/>
      <c r="Q126" s="5"/>
    </row>
    <row r="127" spans="1:17" ht="14.4">
      <c r="A127" s="7" t="s">
        <v>11</v>
      </c>
      <c r="B127" s="1">
        <v>173.70000000000002</v>
      </c>
      <c r="C127" s="1">
        <v>211.4</v>
      </c>
      <c r="D127" s="1">
        <v>194.79999999999998</v>
      </c>
      <c r="E127" s="1">
        <v>174.69999999999996</v>
      </c>
      <c r="F127" s="1">
        <v>185.93333333333331</v>
      </c>
      <c r="G127" s="1">
        <v>158.36666666666667</v>
      </c>
      <c r="H127" s="1">
        <v>157.36666666666667</v>
      </c>
      <c r="I127" s="1">
        <v>170.93333333333331</v>
      </c>
      <c r="J127" s="1">
        <v>121.36666666666667</v>
      </c>
      <c r="K127" s="1">
        <v>207.73333333333335</v>
      </c>
      <c r="L127" s="1">
        <v>191.33333333333334</v>
      </c>
      <c r="M127" s="1">
        <v>177.06666666666669</v>
      </c>
      <c r="P127" s="1"/>
      <c r="Q127" s="5"/>
    </row>
    <row r="128" spans="1:17" ht="14.4">
      <c r="A128" s="7" t="s">
        <v>14</v>
      </c>
      <c r="B128" s="1">
        <v>174.43333333333331</v>
      </c>
      <c r="C128" s="1">
        <v>208.36666666666665</v>
      </c>
      <c r="D128" s="1">
        <v>175.43333333333331</v>
      </c>
      <c r="E128" s="1">
        <v>177.4</v>
      </c>
      <c r="F128" s="1">
        <v>178.29999999999998</v>
      </c>
      <c r="G128" s="1">
        <v>169.6</v>
      </c>
      <c r="H128" s="1">
        <v>156.46666666666667</v>
      </c>
      <c r="I128" s="1">
        <v>171.20000000000002</v>
      </c>
      <c r="J128" s="1">
        <v>120.33333333333333</v>
      </c>
      <c r="K128" s="1">
        <v>208.86666666666667</v>
      </c>
      <c r="L128" s="1">
        <v>193.16666666666666</v>
      </c>
      <c r="M128" s="1">
        <v>177.5</v>
      </c>
      <c r="P128" s="1"/>
      <c r="Q128" s="5"/>
    </row>
    <row r="129" spans="1:17" ht="14.4">
      <c r="A129" s="7" t="s">
        <v>17</v>
      </c>
      <c r="B129" s="1">
        <v>174.4666666666667</v>
      </c>
      <c r="C129" s="1">
        <v>208.36666666666665</v>
      </c>
      <c r="D129" s="1">
        <v>175.43333333333331</v>
      </c>
      <c r="E129" s="1">
        <v>177.4</v>
      </c>
      <c r="F129" s="1">
        <v>178.23333333333335</v>
      </c>
      <c r="G129" s="1">
        <v>169.6</v>
      </c>
      <c r="H129" s="1">
        <v>156.53333333333333</v>
      </c>
      <c r="I129" s="1">
        <v>171.26666666666665</v>
      </c>
      <c r="J129" s="1">
        <v>120.33333333333333</v>
      </c>
      <c r="K129" s="1">
        <v>208.86666666666667</v>
      </c>
      <c r="L129" s="1">
        <v>193.16666666666666</v>
      </c>
      <c r="M129" s="1">
        <v>177.53333333333333</v>
      </c>
      <c r="P129" s="1"/>
      <c r="Q129" s="5"/>
    </row>
    <row r="130" spans="1:17" ht="14.4">
      <c r="A130" s="7" t="s">
        <v>19</v>
      </c>
      <c r="B130" s="1">
        <v>173.9666666666667</v>
      </c>
      <c r="C130" s="1">
        <v>209.96666666666667</v>
      </c>
      <c r="D130" s="1">
        <v>169.96666666666667</v>
      </c>
      <c r="E130" s="1">
        <v>178.4666666666667</v>
      </c>
      <c r="F130" s="1">
        <v>174.03333333333333</v>
      </c>
      <c r="G130" s="1">
        <v>176.4</v>
      </c>
      <c r="H130" s="1">
        <v>159.36666666666667</v>
      </c>
      <c r="I130" s="1">
        <v>173.63333333333335</v>
      </c>
      <c r="J130" s="1">
        <v>121.59999999999998</v>
      </c>
      <c r="K130" s="1">
        <v>212.06666666666669</v>
      </c>
      <c r="L130" s="1">
        <v>193.66666666666666</v>
      </c>
      <c r="M130" s="1">
        <v>178.5</v>
      </c>
      <c r="P130" s="1"/>
      <c r="Q130" s="5"/>
    </row>
    <row r="131" spans="1:17" ht="14.4">
      <c r="A131" s="7" t="s">
        <v>21</v>
      </c>
      <c r="B131" s="1">
        <v>173.86666666666665</v>
      </c>
      <c r="C131" s="1">
        <v>215.06666666666669</v>
      </c>
      <c r="D131" s="1">
        <v>173.63333333333333</v>
      </c>
      <c r="E131" s="1">
        <v>179.5</v>
      </c>
      <c r="F131" s="1">
        <v>169.23333333333332</v>
      </c>
      <c r="G131" s="1">
        <v>172.33333333333334</v>
      </c>
      <c r="H131" s="1">
        <v>164.9</v>
      </c>
      <c r="I131" s="1">
        <v>175.79999999999998</v>
      </c>
      <c r="J131" s="1">
        <v>122.93333333333334</v>
      </c>
      <c r="K131" s="1">
        <v>216.96666666666667</v>
      </c>
      <c r="L131" s="1">
        <v>194.33333333333334</v>
      </c>
      <c r="M131" s="1">
        <v>179.66666666666666</v>
      </c>
      <c r="P131" s="1"/>
      <c r="Q131" s="5"/>
    </row>
    <row r="132" spans="1:17" ht="14.4">
      <c r="A132" s="7" t="s">
        <v>8</v>
      </c>
      <c r="B132" s="1">
        <v>174.08666666666664</v>
      </c>
      <c r="C132" s="1">
        <v>210.63333333333335</v>
      </c>
      <c r="D132" s="1">
        <v>177.85333333333332</v>
      </c>
      <c r="E132" s="1">
        <v>177.49333333333331</v>
      </c>
      <c r="F132" s="1">
        <v>177.14666666666668</v>
      </c>
      <c r="G132" s="1">
        <v>169.26000000000002</v>
      </c>
      <c r="H132" s="1">
        <v>158.92666666666668</v>
      </c>
      <c r="I132" s="1">
        <v>172.56666666666669</v>
      </c>
      <c r="J132" s="1">
        <v>121.31333333333333</v>
      </c>
      <c r="K132" s="1">
        <v>210.9</v>
      </c>
      <c r="L132" s="1">
        <v>193.1333333333333</v>
      </c>
      <c r="M132" s="1">
        <v>178.05333333333334</v>
      </c>
      <c r="P132" s="1"/>
      <c r="Q132" s="5"/>
    </row>
    <row r="133" spans="1:17" ht="14.4">
      <c r="P133" s="1"/>
      <c r="Q133" s="5"/>
    </row>
    <row r="134" spans="1:17" ht="14.4">
      <c r="P134" s="1"/>
      <c r="Q134" s="5"/>
    </row>
    <row r="135" spans="1:17" ht="14.4">
      <c r="P135" s="1"/>
      <c r="Q135" s="5"/>
    </row>
    <row r="136" spans="1:17" ht="14.4">
      <c r="P136" s="1"/>
      <c r="Q136" s="5"/>
    </row>
    <row r="137" spans="1:17" ht="14.4">
      <c r="P137" s="1"/>
    </row>
    <row r="141" spans="1:17" ht="14.4">
      <c r="A141" s="24" t="s">
        <v>106</v>
      </c>
      <c r="B141" s="25" t="s">
        <v>49</v>
      </c>
      <c r="C141" s="25" t="s">
        <v>50</v>
      </c>
      <c r="D141" s="25" t="s">
        <v>51</v>
      </c>
      <c r="E141" s="25" t="s">
        <v>52</v>
      </c>
      <c r="F141" s="25" t="s">
        <v>53</v>
      </c>
      <c r="G141" s="25" t="s">
        <v>54</v>
      </c>
      <c r="H141" s="25" t="s">
        <v>55</v>
      </c>
      <c r="I141" s="25" t="s">
        <v>56</v>
      </c>
      <c r="J141" s="25" t="s">
        <v>57</v>
      </c>
      <c r="K141" s="25" t="s">
        <v>58</v>
      </c>
      <c r="L141" s="44" t="s">
        <v>140</v>
      </c>
      <c r="M141" s="23" t="s">
        <v>59</v>
      </c>
    </row>
    <row r="142" spans="1:17" ht="14.4">
      <c r="A142" t="s">
        <v>16</v>
      </c>
      <c r="B142" s="5">
        <v>0.56070735389262638</v>
      </c>
      <c r="C142" s="5">
        <v>1.0874559656915337</v>
      </c>
      <c r="D142" s="5">
        <v>5.1854888296782331</v>
      </c>
      <c r="E142" s="5">
        <v>0.54556476055769187</v>
      </c>
      <c r="F142" s="5">
        <v>-0.69790628115651909</v>
      </c>
      <c r="G142" s="5">
        <v>-0.75949367088608255</v>
      </c>
      <c r="H142" s="5">
        <v>4.1968430826369536</v>
      </c>
      <c r="I142" s="5">
        <v>0.16675931072817285</v>
      </c>
      <c r="J142" s="5">
        <v>-0.26326447954637738</v>
      </c>
      <c r="K142" s="5">
        <v>1.1937059142702209</v>
      </c>
      <c r="L142" s="5">
        <v>0.95858895705520919</v>
      </c>
      <c r="M142" s="5">
        <v>0.78495801387367858</v>
      </c>
    </row>
    <row r="143" spans="1:17" ht="14.4">
      <c r="A143" t="s">
        <v>18</v>
      </c>
      <c r="B143" s="5">
        <v>1.0079348059189337</v>
      </c>
      <c r="C143" s="5">
        <v>-2.8939393939393843</v>
      </c>
      <c r="D143" s="5">
        <v>2.5136399064691859</v>
      </c>
      <c r="E143" s="5">
        <v>0.48231511254018267</v>
      </c>
      <c r="F143" s="5">
        <v>-2.476572958500685</v>
      </c>
      <c r="G143" s="5">
        <v>2.6883830455259008</v>
      </c>
      <c r="H143" s="5">
        <v>-0.33862056674389185</v>
      </c>
      <c r="I143" s="5">
        <v>8.3240843507221302E-2</v>
      </c>
      <c r="J143" s="5">
        <v>4.0609137055852569E-2</v>
      </c>
      <c r="K143" s="5">
        <v>1.5370866845397717</v>
      </c>
      <c r="L143" s="5">
        <v>5.6969236612226165E-2</v>
      </c>
      <c r="M143" s="5">
        <v>0.7063937692447082</v>
      </c>
    </row>
    <row r="144" spans="1:17" ht="14.4">
      <c r="A144" t="s">
        <v>20</v>
      </c>
      <c r="B144" s="5">
        <v>2.3142250530785518</v>
      </c>
      <c r="C144" s="5">
        <v>-3.0269932906849881</v>
      </c>
      <c r="D144" s="5">
        <v>-3.4214027751378073</v>
      </c>
      <c r="E144" s="5">
        <v>0.88000000000000123</v>
      </c>
      <c r="F144" s="5">
        <v>-1.681537405627995</v>
      </c>
      <c r="G144" s="5">
        <v>-0.78348939422890362</v>
      </c>
      <c r="H144" s="5">
        <v>2.449928469241772</v>
      </c>
      <c r="I144" s="5">
        <v>0.72082062655947399</v>
      </c>
      <c r="J144" s="5">
        <v>1.8063730464785883</v>
      </c>
      <c r="K144" s="5">
        <v>1.9010737546206622</v>
      </c>
      <c r="L144" s="5">
        <v>0.70222053520593009</v>
      </c>
      <c r="M144" s="5">
        <v>0.57553956834532172</v>
      </c>
    </row>
    <row r="145" spans="1:13" ht="14.4">
      <c r="A145" t="s">
        <v>22</v>
      </c>
      <c r="B145" s="5">
        <v>1.9506121601992068</v>
      </c>
      <c r="C145" s="5">
        <v>1.3032984714400591</v>
      </c>
      <c r="D145" s="5">
        <v>0.29521747687464783</v>
      </c>
      <c r="E145" s="5">
        <v>0.9714512291831835</v>
      </c>
      <c r="F145" s="5">
        <v>-1.9022687609075006</v>
      </c>
      <c r="G145" s="5">
        <v>-4.2180277349769097</v>
      </c>
      <c r="H145" s="5">
        <v>2.8975388374934532</v>
      </c>
      <c r="I145" s="5">
        <v>0.60556014313238649</v>
      </c>
      <c r="J145" s="5">
        <v>1.1363636363636227</v>
      </c>
      <c r="K145" s="5">
        <v>1.9174296078770021</v>
      </c>
      <c r="L145" s="5">
        <v>0.8480964945344891</v>
      </c>
      <c r="M145" s="5">
        <v>0.60801144492131209</v>
      </c>
    </row>
    <row r="146" spans="1:13" ht="14.4">
      <c r="A146" t="s">
        <v>24</v>
      </c>
      <c r="B146" s="5">
        <v>1.0177081213108197</v>
      </c>
      <c r="C146" s="5">
        <v>0.79415501905972952</v>
      </c>
      <c r="D146" s="5">
        <v>0.68681318681318115</v>
      </c>
      <c r="E146" s="5">
        <v>0.68721774985273354</v>
      </c>
      <c r="F146" s="5">
        <v>-1.1207970112079821</v>
      </c>
      <c r="G146" s="5">
        <v>-1.1260808365171804</v>
      </c>
      <c r="H146" s="5">
        <v>4.0033927056827716</v>
      </c>
      <c r="I146" s="5">
        <v>0.24623803009575693</v>
      </c>
      <c r="J146" s="5">
        <v>0.41395623891189659</v>
      </c>
      <c r="K146" s="5">
        <v>1.3389830508474538</v>
      </c>
      <c r="L146" s="5">
        <v>0.97178097551858711</v>
      </c>
      <c r="M146" s="5">
        <v>0.49768929968005893</v>
      </c>
    </row>
    <row r="147" spans="1:13" ht="14.4">
      <c r="A147" t="s">
        <v>26</v>
      </c>
      <c r="B147" s="5">
        <v>1.2895426153536294</v>
      </c>
      <c r="C147" s="5">
        <v>-0.72486605735896537</v>
      </c>
      <c r="D147" s="5">
        <v>6.1781329175599273</v>
      </c>
      <c r="E147" s="5">
        <v>0.79953198127928893</v>
      </c>
      <c r="F147" s="5">
        <v>1.2774379273119869</v>
      </c>
      <c r="G147" s="5">
        <v>-1.8913971934106302</v>
      </c>
      <c r="H147" s="5">
        <v>-8.6282824987766915</v>
      </c>
      <c r="I147" s="5">
        <v>0.16375545851528617</v>
      </c>
      <c r="J147" s="5">
        <v>0.45151158225362276</v>
      </c>
      <c r="K147" s="5">
        <v>1.4216424151196043</v>
      </c>
      <c r="L147" s="5">
        <v>-0.75883768276882058</v>
      </c>
      <c r="M147" s="5">
        <v>0.60134418111071397</v>
      </c>
    </row>
    <row r="148" spans="1:13" ht="14.4">
      <c r="A148" t="s">
        <v>28</v>
      </c>
      <c r="B148" s="5">
        <v>1.0940919037199011</v>
      </c>
      <c r="C148" s="5">
        <v>-0.19047619047619319</v>
      </c>
      <c r="D148" s="5">
        <v>4.8458149779735749</v>
      </c>
      <c r="E148" s="5">
        <v>0.77384407041978276</v>
      </c>
      <c r="F148" s="5">
        <v>-0.24871202700302111</v>
      </c>
      <c r="G148" s="5">
        <v>-1.6998341625207216</v>
      </c>
      <c r="H148" s="5">
        <v>-12.74544805426634</v>
      </c>
      <c r="I148" s="5">
        <v>-0.2452316076294371</v>
      </c>
      <c r="J148" s="5">
        <v>0.17588430721126327</v>
      </c>
      <c r="K148" s="5">
        <v>1.1213720316622615</v>
      </c>
      <c r="L148" s="5">
        <v>-1.3614323013801</v>
      </c>
      <c r="M148" s="5">
        <v>0.43952180028128396</v>
      </c>
    </row>
    <row r="149" spans="1:13" ht="14.4">
      <c r="A149" t="s">
        <v>30</v>
      </c>
      <c r="B149" s="5">
        <v>2.5383707201889085</v>
      </c>
      <c r="C149" s="5">
        <v>0.85877862595420384</v>
      </c>
      <c r="D149" s="5">
        <v>2.310924369747887</v>
      </c>
      <c r="E149" s="5">
        <v>0.61432136686502281</v>
      </c>
      <c r="F149" s="5">
        <v>-0.6589492430988505</v>
      </c>
      <c r="G149" s="5">
        <v>0.18979333614509367</v>
      </c>
      <c r="H149" s="5">
        <v>-3.4165302782324032</v>
      </c>
      <c r="I149" s="5">
        <v>-0.54629882545750597</v>
      </c>
      <c r="J149" s="5">
        <v>3.9016777214183257E-2</v>
      </c>
      <c r="K149" s="5">
        <v>1.6307893020221831</v>
      </c>
      <c r="L149" s="5">
        <v>0.43486481376444036</v>
      </c>
      <c r="M149" s="5">
        <v>0.47260633642571376</v>
      </c>
    </row>
    <row r="150" spans="1:13" ht="14.4">
      <c r="A150" t="s">
        <v>32</v>
      </c>
      <c r="B150" s="5">
        <v>0.422183841872937</v>
      </c>
      <c r="C150" s="5">
        <v>-1.4348785871964804</v>
      </c>
      <c r="D150" s="5">
        <v>-9.9418206707734473</v>
      </c>
      <c r="E150" s="5">
        <v>1.545506582713249</v>
      </c>
      <c r="F150" s="5">
        <v>-4.1054141269272106</v>
      </c>
      <c r="G150" s="5">
        <v>7.093243527678375</v>
      </c>
      <c r="H150" s="5">
        <v>-0.57191273035374213</v>
      </c>
      <c r="I150" s="5">
        <v>-0.85141444658061982</v>
      </c>
      <c r="J150" s="5">
        <v>0.15600624024963439</v>
      </c>
      <c r="K150" s="5">
        <v>0.54557124518613243</v>
      </c>
      <c r="L150" s="5">
        <v>0.24472891566263666</v>
      </c>
      <c r="M150" s="5">
        <v>0.95818815331009455</v>
      </c>
    </row>
    <row r="151" spans="1:13" ht="14.4">
      <c r="A151" t="s">
        <v>34</v>
      </c>
      <c r="B151" s="5">
        <v>1.9109497420249352E-2</v>
      </c>
      <c r="C151" s="5">
        <v>0</v>
      </c>
      <c r="D151" s="5">
        <v>0</v>
      </c>
      <c r="E151" s="5">
        <v>0</v>
      </c>
      <c r="F151" s="5">
        <v>-3.7390166386222355E-2</v>
      </c>
      <c r="G151" s="5">
        <v>0</v>
      </c>
      <c r="H151" s="5">
        <v>4.2607584149976278E-2</v>
      </c>
      <c r="I151" s="5">
        <v>0</v>
      </c>
      <c r="J151" s="5">
        <v>3.8940809968828538E-2</v>
      </c>
      <c r="K151" s="5">
        <v>0</v>
      </c>
      <c r="L151" s="5">
        <v>1.8779342723003627E-2</v>
      </c>
      <c r="M151" s="5">
        <v>0</v>
      </c>
    </row>
    <row r="152" spans="1:13" ht="14.4">
      <c r="A152" t="s">
        <v>36</v>
      </c>
      <c r="B152" s="5">
        <v>-0.28658769583492544</v>
      </c>
      <c r="C152" s="5">
        <v>0.7678771396576658</v>
      </c>
      <c r="D152" s="5">
        <v>-3.1160934828044695</v>
      </c>
      <c r="E152" s="5">
        <v>0.6012777151446963</v>
      </c>
      <c r="F152" s="5">
        <v>-2.3564615672339722</v>
      </c>
      <c r="G152" s="5">
        <v>4.0094339622641577</v>
      </c>
      <c r="H152" s="5">
        <v>1.8100511073253893</v>
      </c>
      <c r="I152" s="5">
        <v>1.0526315789473559</v>
      </c>
      <c r="J152" s="5">
        <v>1.3818606461658445</v>
      </c>
      <c r="K152" s="5">
        <v>1.5320778806256066</v>
      </c>
      <c r="L152" s="5">
        <v>0.54449868569282867</v>
      </c>
      <c r="M152" s="5">
        <v>0.25884383088869717</v>
      </c>
    </row>
    <row r="153" spans="1:13" ht="14.4">
      <c r="A153" t="s">
        <v>37</v>
      </c>
      <c r="B153" s="5">
        <v>-5.7482276298170799E-2</v>
      </c>
      <c r="C153" s="5">
        <v>2.4289569772979949</v>
      </c>
      <c r="D153" s="5">
        <v>2.157285742302407</v>
      </c>
      <c r="E153" s="5">
        <v>0.57900635039221304</v>
      </c>
      <c r="F153" s="5">
        <v>-2.7580923194790339</v>
      </c>
      <c r="G153" s="5">
        <v>-2.3053665910808747</v>
      </c>
      <c r="H153" s="5">
        <v>3.4720769713449053</v>
      </c>
      <c r="I153" s="5">
        <v>1.0964912280701951</v>
      </c>
      <c r="J153" s="5">
        <v>1.2478402764445931</v>
      </c>
      <c r="K153" s="5">
        <v>2.3105941527821328</v>
      </c>
      <c r="L153" s="5">
        <v>0.65359477124182475</v>
      </c>
      <c r="M153" s="5">
        <v>0.34423407917384802</v>
      </c>
    </row>
    <row r="154" spans="1:13" ht="15.65">
      <c r="A154" s="29" t="s">
        <v>8</v>
      </c>
      <c r="B154" s="30">
        <f>SUM(B142:B153)</f>
        <v>11.870416100822668</v>
      </c>
      <c r="C154" s="30">
        <f t="shared" ref="C154:M154" si="1">SUM(C142:C153)</f>
        <v>-1.0306313205548236</v>
      </c>
      <c r="D154" s="30">
        <f t="shared" si="1"/>
        <v>7.6940004787033187</v>
      </c>
      <c r="E154" s="30">
        <f t="shared" si="1"/>
        <v>8.4800369189480449</v>
      </c>
      <c r="F154" s="30">
        <f t="shared" si="1"/>
        <v>-16.766663940217004</v>
      </c>
      <c r="G154" s="30">
        <f t="shared" si="1"/>
        <v>1.1971642879922251</v>
      </c>
      <c r="H154" s="30">
        <f t="shared" si="1"/>
        <v>-6.8283553704978486</v>
      </c>
      <c r="I154" s="30">
        <f t="shared" si="1"/>
        <v>2.4925523398882858</v>
      </c>
      <c r="J154" s="30">
        <f t="shared" si="1"/>
        <v>6.6250982187715532</v>
      </c>
      <c r="K154" s="30">
        <f t="shared" si="1"/>
        <v>16.450326039553033</v>
      </c>
      <c r="L154" s="30">
        <f t="shared" si="1"/>
        <v>3.3138527438622551</v>
      </c>
      <c r="M154" s="31">
        <f t="shared" si="1"/>
        <v>6.2473304772554314</v>
      </c>
    </row>
    <row r="155" spans="1:13" ht="15.65">
      <c r="A155" s="26" t="s">
        <v>115</v>
      </c>
      <c r="B155" s="27">
        <f>AVERAGE(B142:B153)</f>
        <v>0.98920134173522234</v>
      </c>
      <c r="C155" s="27">
        <f t="shared" ref="C155:M155" si="2">AVERAGE(C142:C153)</f>
        <v>-8.5885943379568633E-2</v>
      </c>
      <c r="D155" s="27">
        <f t="shared" si="2"/>
        <v>0.64116670655860986</v>
      </c>
      <c r="E155" s="27">
        <f t="shared" si="2"/>
        <v>0.70666974324567045</v>
      </c>
      <c r="F155" s="27">
        <f t="shared" si="2"/>
        <v>-1.3972219950180838</v>
      </c>
      <c r="G155" s="27">
        <f t="shared" si="2"/>
        <v>9.9763690666018756E-2</v>
      </c>
      <c r="H155" s="27">
        <f t="shared" si="2"/>
        <v>-0.56902961420815401</v>
      </c>
      <c r="I155" s="27">
        <f t="shared" si="2"/>
        <v>0.20771269499069048</v>
      </c>
      <c r="J155" s="27">
        <f t="shared" si="2"/>
        <v>0.55209151823096281</v>
      </c>
      <c r="K155" s="27">
        <f t="shared" si="2"/>
        <v>1.3708605032960861</v>
      </c>
      <c r="L155" s="27">
        <f t="shared" si="2"/>
        <v>0.2761543953218546</v>
      </c>
      <c r="M155" s="28">
        <f t="shared" si="2"/>
        <v>0.52061087310461929</v>
      </c>
    </row>
    <row r="156" spans="1:13" ht="14.4">
      <c r="B156" s="5"/>
      <c r="C156" s="5"/>
      <c r="D156" s="5"/>
      <c r="E156" s="5"/>
      <c r="F156" s="5"/>
      <c r="G156" s="5"/>
      <c r="H156" s="5"/>
      <c r="I156" s="5"/>
      <c r="J156" s="5"/>
      <c r="K156" s="5"/>
      <c r="L156" s="5"/>
      <c r="M156" s="5"/>
    </row>
    <row r="157" spans="1:13" ht="14.4">
      <c r="A157" s="22" t="s">
        <v>60</v>
      </c>
      <c r="B157" s="23" t="s">
        <v>13</v>
      </c>
      <c r="C157" s="5"/>
      <c r="D157" s="5"/>
    </row>
    <row r="158" spans="1:13" ht="14.4">
      <c r="A158" t="s">
        <v>61</v>
      </c>
      <c r="B158" s="5">
        <v>11.870416100822668</v>
      </c>
    </row>
    <row r="159" spans="1:13" ht="14.4">
      <c r="A159" t="s">
        <v>62</v>
      </c>
      <c r="B159" s="5">
        <v>-1.0306313205548236</v>
      </c>
      <c r="K159" s="5"/>
    </row>
    <row r="160" spans="1:13" ht="14.4">
      <c r="A160" t="s">
        <v>63</v>
      </c>
      <c r="B160" s="5">
        <v>7.6940004787033187</v>
      </c>
    </row>
    <row r="161" spans="1:3" ht="14.4">
      <c r="A161" t="s">
        <v>64</v>
      </c>
      <c r="B161" s="5">
        <v>8.4800369189480449</v>
      </c>
    </row>
    <row r="162" spans="1:3" ht="14.4">
      <c r="A162" t="s">
        <v>65</v>
      </c>
      <c r="B162" s="5">
        <v>-16.766663940217004</v>
      </c>
    </row>
    <row r="163" spans="1:3" ht="14.4">
      <c r="A163" t="s">
        <v>66</v>
      </c>
      <c r="B163" s="5">
        <v>1.1971642879922251</v>
      </c>
      <c r="C163" s="5"/>
    </row>
    <row r="164" spans="1:3" ht="14.4">
      <c r="A164" t="s">
        <v>67</v>
      </c>
      <c r="B164" s="5">
        <v>-6.8283553704978486</v>
      </c>
      <c r="C164" s="5"/>
    </row>
    <row r="165" spans="1:3" ht="14.4">
      <c r="A165" t="s">
        <v>68</v>
      </c>
      <c r="B165" s="5">
        <v>2.4925523398882858</v>
      </c>
      <c r="C165" s="5"/>
    </row>
    <row r="166" spans="1:3" ht="14.4">
      <c r="A166" t="s">
        <v>69</v>
      </c>
      <c r="B166" s="5">
        <v>6.6250982187715532</v>
      </c>
      <c r="C166" s="5"/>
    </row>
    <row r="167" spans="1:3" ht="14.4">
      <c r="A167" s="20" t="s">
        <v>70</v>
      </c>
      <c r="B167" s="21">
        <v>16.450326039553033</v>
      </c>
      <c r="C167" s="49" t="s">
        <v>71</v>
      </c>
    </row>
    <row r="168" spans="1:3" ht="14.4">
      <c r="A168" t="s">
        <v>141</v>
      </c>
      <c r="B168" s="5">
        <v>3.31</v>
      </c>
      <c r="C168" s="5"/>
    </row>
    <row r="169" spans="1:3" ht="14.4">
      <c r="A169" t="s">
        <v>111</v>
      </c>
      <c r="B169" s="5">
        <v>6.2473304772554314</v>
      </c>
      <c r="C169" s="5"/>
    </row>
    <row r="170" spans="1:3" ht="14.4">
      <c r="B170" s="1"/>
      <c r="C170" s="5"/>
    </row>
    <row r="171" spans="1:3" ht="14.4">
      <c r="B171" s="1"/>
      <c r="C171" s="5"/>
    </row>
    <row r="172" spans="1:3">
      <c r="A172" s="124" t="s">
        <v>112</v>
      </c>
      <c r="B172" s="125"/>
      <c r="C172" s="126"/>
    </row>
    <row r="173" spans="1:3">
      <c r="A173" s="127"/>
      <c r="B173" s="128"/>
      <c r="C173" s="129"/>
    </row>
    <row r="174" spans="1:3">
      <c r="A174" s="127"/>
      <c r="B174" s="128"/>
      <c r="C174" s="129"/>
    </row>
    <row r="175" spans="1:3">
      <c r="A175" s="130"/>
      <c r="B175" s="131"/>
      <c r="C175" s="132"/>
    </row>
    <row r="181" spans="1:13" ht="14.4">
      <c r="G181" s="1"/>
    </row>
    <row r="182" spans="1:13" ht="14.4">
      <c r="G182" s="1"/>
      <c r="H182" s="1"/>
      <c r="I182" s="1"/>
      <c r="J182" s="1"/>
    </row>
    <row r="183" spans="1:13" ht="14.4">
      <c r="G183" s="1"/>
      <c r="H183" s="1"/>
      <c r="I183" s="1"/>
      <c r="J183" s="1"/>
    </row>
    <row r="184" spans="1:13">
      <c r="A184" s="85" t="s">
        <v>4</v>
      </c>
      <c r="B184" s="60"/>
    </row>
    <row r="185" spans="1:13">
      <c r="A185" s="64"/>
      <c r="B185" s="66"/>
    </row>
    <row r="189" spans="1:13" ht="14.4">
      <c r="H189" s="1"/>
      <c r="I189" s="1"/>
      <c r="J189" s="1"/>
      <c r="K189" s="1"/>
      <c r="L189" s="1"/>
      <c r="M189" s="1"/>
    </row>
    <row r="190" spans="1:13" ht="14.4">
      <c r="G190" s="1"/>
      <c r="H190" s="8" t="s">
        <v>113</v>
      </c>
      <c r="I190" s="8" t="s">
        <v>114</v>
      </c>
      <c r="J190" s="8" t="s">
        <v>181</v>
      </c>
      <c r="K190" s="1"/>
      <c r="L190" s="1"/>
    </row>
    <row r="191" spans="1:13" ht="14.4">
      <c r="G191" s="20" t="s">
        <v>124</v>
      </c>
      <c r="H191" s="5">
        <v>7.907375993786947</v>
      </c>
      <c r="I191" s="5">
        <v>4.1762276273520138</v>
      </c>
      <c r="J191" s="5">
        <v>4.1915809614924884</v>
      </c>
      <c r="K191" s="5"/>
      <c r="L191" s="5"/>
      <c r="M191" s="5"/>
    </row>
    <row r="192" spans="1:13" ht="14.4">
      <c r="G192" s="37" t="s">
        <v>125</v>
      </c>
      <c r="H192" s="5">
        <v>7.2351225425205321</v>
      </c>
      <c r="I192" s="5">
        <v>6.4317180616740188</v>
      </c>
      <c r="J192" s="5">
        <v>5.6126255380200698</v>
      </c>
      <c r="K192" s="1"/>
      <c r="L192" s="1"/>
      <c r="M192" s="1"/>
    </row>
    <row r="193" spans="1:12" ht="14.4">
      <c r="G193" s="1"/>
      <c r="H193" s="1"/>
      <c r="I193" s="1"/>
      <c r="J193" s="1"/>
      <c r="K193" s="1"/>
      <c r="L193" s="1"/>
    </row>
    <row r="194" spans="1:12" ht="14.4">
      <c r="G194" s="5"/>
      <c r="H194" s="5"/>
      <c r="I194" s="5"/>
      <c r="J194" s="5"/>
      <c r="K194" s="5"/>
      <c r="L194" s="5"/>
    </row>
    <row r="200" spans="1:12" ht="14.4">
      <c r="A200" s="6" t="s">
        <v>0</v>
      </c>
      <c r="B200" s="7">
        <v>2019</v>
      </c>
    </row>
    <row r="202" spans="1:12" ht="14.4">
      <c r="A202" s="6" t="s">
        <v>7</v>
      </c>
      <c r="B202" t="s">
        <v>97</v>
      </c>
      <c r="C202" t="s">
        <v>74</v>
      </c>
      <c r="D202" t="s">
        <v>179</v>
      </c>
    </row>
    <row r="203" spans="1:12" ht="14.4">
      <c r="A203" s="7" t="s">
        <v>17</v>
      </c>
      <c r="B203" s="1">
        <v>1630.9666666666665</v>
      </c>
      <c r="C203" s="1">
        <v>145.26666666666665</v>
      </c>
      <c r="D203" s="1">
        <v>557.46666666666658</v>
      </c>
    </row>
    <row r="204" spans="1:12" ht="14.4">
      <c r="A204" s="7" t="s">
        <v>8</v>
      </c>
      <c r="B204" s="1">
        <v>1630.9666666666665</v>
      </c>
      <c r="C204" s="1">
        <v>145.26666666666665</v>
      </c>
      <c r="D204" s="1">
        <v>557.46666666666658</v>
      </c>
    </row>
    <row r="207" spans="1:12">
      <c r="A207" s="133" t="s">
        <v>182</v>
      </c>
      <c r="B207" s="134"/>
      <c r="C207" s="134"/>
      <c r="D207" s="134"/>
      <c r="E207" s="134"/>
      <c r="F207" s="134"/>
      <c r="G207" s="135"/>
    </row>
    <row r="208" spans="1:12">
      <c r="A208" s="136"/>
      <c r="B208" s="137"/>
      <c r="C208" s="137"/>
      <c r="D208" s="137"/>
      <c r="E208" s="137"/>
      <c r="F208" s="137"/>
      <c r="G208" s="138"/>
    </row>
    <row r="209" spans="1:7">
      <c r="A209" s="136"/>
      <c r="B209" s="137"/>
      <c r="C209" s="137"/>
      <c r="D209" s="137"/>
      <c r="E209" s="137"/>
      <c r="F209" s="137"/>
      <c r="G209" s="138"/>
    </row>
    <row r="210" spans="1:7">
      <c r="A210" s="139"/>
      <c r="B210" s="140"/>
      <c r="C210" s="140"/>
      <c r="D210" s="140"/>
      <c r="E210" s="140"/>
      <c r="F210" s="140"/>
      <c r="G210" s="141"/>
    </row>
    <row r="224" spans="1:7" ht="14.4">
      <c r="B224" s="7"/>
    </row>
    <row r="229" spans="1:8" ht="14.4">
      <c r="A229" s="1"/>
      <c r="B229" s="1"/>
      <c r="C229" s="1"/>
      <c r="D229" s="1"/>
    </row>
    <row r="230" spans="1:8" ht="14.4">
      <c r="A230" s="4"/>
      <c r="B230" s="4"/>
      <c r="C230" s="4"/>
      <c r="D230" s="4"/>
      <c r="E230" s="4"/>
      <c r="F230" s="4"/>
      <c r="G230" s="4"/>
      <c r="H230" s="4"/>
    </row>
    <row r="234" spans="1:8" ht="14.4">
      <c r="B234" s="1"/>
      <c r="C234" s="1"/>
      <c r="D234" s="1"/>
      <c r="E234" s="1"/>
      <c r="F234" s="1"/>
      <c r="G234" s="1"/>
    </row>
    <row r="236" spans="1:8" ht="14.4" customHeight="1"/>
    <row r="238" spans="1:8" ht="14.4">
      <c r="B238" s="1"/>
      <c r="C238" s="1"/>
      <c r="D238" s="1"/>
      <c r="E238" s="1"/>
      <c r="F238" s="1"/>
      <c r="G238" s="1"/>
    </row>
    <row r="239" spans="1:8" ht="14.4">
      <c r="B239" s="1"/>
      <c r="C239" s="1"/>
      <c r="D239" s="1"/>
      <c r="E239" s="1"/>
      <c r="F239" s="1"/>
      <c r="G239" s="1"/>
    </row>
    <row r="240" spans="1:8" ht="14.4">
      <c r="B240" s="1"/>
      <c r="C240" s="1"/>
      <c r="D240" s="1"/>
      <c r="E240" s="1"/>
      <c r="F240" s="1"/>
      <c r="G240" s="1"/>
    </row>
    <row r="241" spans="2:7">
      <c r="B241" s="1"/>
      <c r="C241" s="1"/>
      <c r="D241" s="1"/>
      <c r="E241" s="1"/>
      <c r="F241" s="1"/>
      <c r="G241" s="1"/>
    </row>
    <row r="242" spans="2:7">
      <c r="B242" s="1"/>
      <c r="C242" s="1"/>
      <c r="D242" s="1"/>
      <c r="E242" s="1"/>
      <c r="F242" s="1"/>
      <c r="G242" s="1"/>
    </row>
    <row r="243" spans="2:7">
      <c r="B243" s="1"/>
      <c r="C243" s="1"/>
    </row>
    <row r="244" spans="2:7">
      <c r="B244" s="1"/>
      <c r="C244" s="1"/>
    </row>
    <row r="262" spans="1:9">
      <c r="A262" s="62" t="s">
        <v>4</v>
      </c>
      <c r="B262" s="110"/>
      <c r="C262" s="110"/>
    </row>
    <row r="263" spans="1:9">
      <c r="A263" s="110"/>
      <c r="B263" s="110"/>
      <c r="C263" s="110"/>
    </row>
    <row r="269" spans="1:9">
      <c r="I269" t="s">
        <v>137</v>
      </c>
    </row>
    <row r="280" spans="1:26">
      <c r="A280" s="6" t="s">
        <v>0</v>
      </c>
      <c r="B280" s="7">
        <v>2021</v>
      </c>
    </row>
    <row r="281" spans="1:26">
      <c r="A281" s="6" t="s">
        <v>5</v>
      </c>
      <c r="B281" t="s">
        <v>6</v>
      </c>
    </row>
    <row r="283" spans="1:26">
      <c r="A283" s="6" t="s">
        <v>7</v>
      </c>
      <c r="B283" t="s">
        <v>2</v>
      </c>
      <c r="C283" t="s">
        <v>3</v>
      </c>
      <c r="D283" t="s">
        <v>38</v>
      </c>
      <c r="E283" t="s">
        <v>39</v>
      </c>
      <c r="F283" t="s">
        <v>40</v>
      </c>
      <c r="G283" t="s">
        <v>41</v>
      </c>
      <c r="H283" t="s">
        <v>42</v>
      </c>
      <c r="I283" t="s">
        <v>43</v>
      </c>
      <c r="J283" t="s">
        <v>44</v>
      </c>
      <c r="K283" t="s">
        <v>46</v>
      </c>
      <c r="L283" t="s">
        <v>45</v>
      </c>
      <c r="M283" t="s">
        <v>47</v>
      </c>
      <c r="N283" t="s">
        <v>48</v>
      </c>
      <c r="O283" t="s">
        <v>110</v>
      </c>
      <c r="P283" t="s">
        <v>139</v>
      </c>
      <c r="Q283" t="s">
        <v>1</v>
      </c>
      <c r="R283" t="s">
        <v>147</v>
      </c>
      <c r="S283" t="s">
        <v>146</v>
      </c>
      <c r="T283" t="s">
        <v>75</v>
      </c>
      <c r="U283" t="s">
        <v>74</v>
      </c>
      <c r="V283" t="s">
        <v>76</v>
      </c>
      <c r="W283" t="s">
        <v>145</v>
      </c>
      <c r="X283" t="s">
        <v>77</v>
      </c>
      <c r="Y283" t="s">
        <v>144</v>
      </c>
      <c r="Z283" t="s">
        <v>119</v>
      </c>
    </row>
    <row r="284" spans="1:26">
      <c r="A284" s="7" t="s">
        <v>11</v>
      </c>
      <c r="B284" s="1">
        <v>147.9</v>
      </c>
      <c r="C284" s="1">
        <v>157.69999999999999</v>
      </c>
      <c r="D284" s="1">
        <v>144.9</v>
      </c>
      <c r="E284" s="1">
        <v>190.1</v>
      </c>
      <c r="F284" s="1">
        <v>175.3</v>
      </c>
      <c r="G284" s="1">
        <v>154.1</v>
      </c>
      <c r="H284" s="1">
        <v>150.9</v>
      </c>
      <c r="I284" s="1">
        <v>149.6</v>
      </c>
      <c r="J284" s="1">
        <v>194.2</v>
      </c>
      <c r="K284" s="1">
        <v>160.4</v>
      </c>
      <c r="L284" s="1">
        <v>114.6</v>
      </c>
      <c r="M284" s="1">
        <v>164</v>
      </c>
      <c r="N284" s="1">
        <v>151.80000000000001</v>
      </c>
      <c r="O284" s="1">
        <v>165.6</v>
      </c>
      <c r="P284" s="1">
        <v>161</v>
      </c>
      <c r="Q284" s="1">
        <v>186.5</v>
      </c>
      <c r="R284" s="1">
        <v>155.5</v>
      </c>
      <c r="S284" s="1">
        <v>146.1</v>
      </c>
      <c r="T284" s="1">
        <v>150</v>
      </c>
      <c r="U284" s="1">
        <v>159.30000000000001</v>
      </c>
      <c r="V284" s="1">
        <v>141.9</v>
      </c>
      <c r="W284" s="1">
        <v>149.6</v>
      </c>
      <c r="X284" s="1">
        <v>159.19999999999999</v>
      </c>
      <c r="Y284" s="1">
        <v>156.80000000000001</v>
      </c>
      <c r="Z284" s="1">
        <v>151.9</v>
      </c>
    </row>
    <row r="285" spans="1:26">
      <c r="A285" s="7" t="s">
        <v>14</v>
      </c>
      <c r="B285" s="1">
        <v>152.4</v>
      </c>
      <c r="C285" s="1">
        <v>159.80000000000001</v>
      </c>
      <c r="D285" s="1">
        <v>144.30000000000001</v>
      </c>
      <c r="E285" s="1">
        <v>186.5</v>
      </c>
      <c r="F285" s="1">
        <v>168.7</v>
      </c>
      <c r="G285" s="1">
        <v>154.69999999999999</v>
      </c>
      <c r="H285" s="1">
        <v>158.69999999999999</v>
      </c>
      <c r="I285" s="1">
        <v>150.69999999999999</v>
      </c>
      <c r="J285" s="1">
        <v>160</v>
      </c>
      <c r="K285" s="1">
        <v>158.80000000000001</v>
      </c>
      <c r="L285" s="1">
        <v>112.8</v>
      </c>
      <c r="M285" s="1">
        <v>164.2</v>
      </c>
      <c r="N285" s="1">
        <v>155.5</v>
      </c>
      <c r="O285" s="1">
        <v>167.5</v>
      </c>
      <c r="P285" s="1">
        <v>156.9</v>
      </c>
      <c r="Q285" s="1">
        <v>188.3</v>
      </c>
      <c r="R285" s="1">
        <v>157.19999999999999</v>
      </c>
      <c r="S285" s="1">
        <v>147.4</v>
      </c>
      <c r="T285" s="1">
        <v>150.9</v>
      </c>
      <c r="U285" s="1">
        <v>161.30000000000001</v>
      </c>
      <c r="V285" s="1">
        <v>145.1</v>
      </c>
      <c r="W285" s="1">
        <v>151.5</v>
      </c>
      <c r="X285" s="1">
        <v>159.5</v>
      </c>
      <c r="Y285" s="1">
        <v>155.80000000000001</v>
      </c>
      <c r="Z285" s="1">
        <v>153.4</v>
      </c>
    </row>
    <row r="286" spans="1:26">
      <c r="A286" s="7" t="s">
        <v>17</v>
      </c>
      <c r="B286" s="1">
        <v>155.5</v>
      </c>
      <c r="C286" s="1">
        <v>159.9</v>
      </c>
      <c r="D286" s="1">
        <v>144.1</v>
      </c>
      <c r="E286" s="1">
        <v>192.2</v>
      </c>
      <c r="F286" s="1">
        <v>163.80000000000001</v>
      </c>
      <c r="G286" s="1">
        <v>154.9</v>
      </c>
      <c r="H286" s="1">
        <v>163.9</v>
      </c>
      <c r="I286" s="1">
        <v>153.69999999999999</v>
      </c>
      <c r="J286" s="1">
        <v>149.5</v>
      </c>
      <c r="K286" s="1">
        <v>159.80000000000001</v>
      </c>
      <c r="L286" s="1">
        <v>112.6</v>
      </c>
      <c r="M286" s="1">
        <v>163.5</v>
      </c>
      <c r="N286" s="1">
        <v>156.5</v>
      </c>
      <c r="O286" s="1">
        <v>168.2</v>
      </c>
      <c r="P286" s="1">
        <v>156.69999999999999</v>
      </c>
      <c r="Q286" s="1">
        <v>188.1</v>
      </c>
      <c r="R286" s="1">
        <v>157.80000000000001</v>
      </c>
      <c r="S286" s="1">
        <v>147.9</v>
      </c>
      <c r="T286" s="1">
        <v>151.19999999999999</v>
      </c>
      <c r="U286" s="1">
        <v>161.69999999999999</v>
      </c>
      <c r="V286" s="1">
        <v>146.19999999999999</v>
      </c>
      <c r="W286" s="1">
        <v>152.6</v>
      </c>
      <c r="X286" s="1">
        <v>160.19999999999999</v>
      </c>
      <c r="Y286" s="1">
        <v>153.80000000000001</v>
      </c>
      <c r="Z286" s="1">
        <v>153.80000000000001</v>
      </c>
    </row>
    <row r="287" spans="1:26">
      <c r="A287" s="7" t="s">
        <v>19</v>
      </c>
      <c r="B287" s="1">
        <v>155.6</v>
      </c>
      <c r="C287" s="1">
        <v>161.4</v>
      </c>
      <c r="D287" s="1">
        <v>144.30000000000001</v>
      </c>
      <c r="E287" s="1">
        <v>198</v>
      </c>
      <c r="F287" s="1">
        <v>164.6</v>
      </c>
      <c r="G287" s="1">
        <v>155.4</v>
      </c>
      <c r="H287" s="1">
        <v>170.1</v>
      </c>
      <c r="I287" s="1">
        <v>164.4</v>
      </c>
      <c r="J287" s="1">
        <v>144.1</v>
      </c>
      <c r="K287" s="1">
        <v>161.69999999999999</v>
      </c>
      <c r="L287" s="1">
        <v>113.1</v>
      </c>
      <c r="M287" s="1">
        <v>163.9</v>
      </c>
      <c r="N287" s="1">
        <v>157.6</v>
      </c>
      <c r="O287" s="1">
        <v>168.9</v>
      </c>
      <c r="P287" s="1">
        <v>158</v>
      </c>
      <c r="Q287" s="1">
        <v>188.8</v>
      </c>
      <c r="R287" s="1">
        <v>158.80000000000001</v>
      </c>
      <c r="S287" s="1">
        <v>148.5</v>
      </c>
      <c r="T287" s="1">
        <v>151.80000000000001</v>
      </c>
      <c r="U287" s="1">
        <v>162.30000000000001</v>
      </c>
      <c r="V287" s="1">
        <v>146.6</v>
      </c>
      <c r="W287" s="1">
        <v>153.19999999999999</v>
      </c>
      <c r="X287" s="1">
        <v>160.30000000000001</v>
      </c>
      <c r="Y287" s="1">
        <v>155.4</v>
      </c>
      <c r="Z287" s="1">
        <v>154.4</v>
      </c>
    </row>
    <row r="288" spans="1:26">
      <c r="A288" s="7" t="s">
        <v>21</v>
      </c>
      <c r="B288" s="1">
        <v>159.4</v>
      </c>
      <c r="C288" s="1">
        <v>161.6</v>
      </c>
      <c r="D288" s="1">
        <v>146.30000000000001</v>
      </c>
      <c r="E288" s="1">
        <v>200.5</v>
      </c>
      <c r="F288" s="1">
        <v>170.3</v>
      </c>
      <c r="G288" s="1">
        <v>156.1</v>
      </c>
      <c r="H288" s="1">
        <v>178.7</v>
      </c>
      <c r="I288" s="1">
        <v>167.1</v>
      </c>
      <c r="J288" s="1">
        <v>147.9</v>
      </c>
      <c r="K288" s="1">
        <v>165.4</v>
      </c>
      <c r="L288" s="1">
        <v>114.8</v>
      </c>
      <c r="M288" s="1">
        <v>168.2</v>
      </c>
      <c r="N288" s="1">
        <v>159.30000000000001</v>
      </c>
      <c r="O288" s="1">
        <v>170.4</v>
      </c>
      <c r="P288" s="1">
        <v>160.69999999999999</v>
      </c>
      <c r="Q288" s="1">
        <v>191.9</v>
      </c>
      <c r="R288" s="1">
        <v>161.80000000000001</v>
      </c>
      <c r="S288" s="1">
        <v>152.1</v>
      </c>
      <c r="T288" s="1">
        <v>154.69999999999999</v>
      </c>
      <c r="U288" s="1">
        <v>165.8</v>
      </c>
      <c r="V288" s="1">
        <v>148.9</v>
      </c>
      <c r="W288" s="1">
        <v>155.80000000000001</v>
      </c>
      <c r="X288" s="1">
        <v>161.19999999999999</v>
      </c>
      <c r="Y288" s="1">
        <v>158.6</v>
      </c>
      <c r="Z288" s="1">
        <v>156.80000000000001</v>
      </c>
    </row>
    <row r="289" spans="1:29">
      <c r="A289" s="7" t="s">
        <v>23</v>
      </c>
      <c r="B289" s="1">
        <v>159.80000000000001</v>
      </c>
      <c r="C289" s="1">
        <v>160.5</v>
      </c>
      <c r="D289" s="1">
        <v>146.69999999999999</v>
      </c>
      <c r="E289" s="1">
        <v>202</v>
      </c>
      <c r="F289" s="1">
        <v>180.7</v>
      </c>
      <c r="G289" s="1">
        <v>156.19999999999999</v>
      </c>
      <c r="H289" s="1">
        <v>183.7</v>
      </c>
      <c r="I289" s="1">
        <v>164.6</v>
      </c>
      <c r="J289" s="1">
        <v>155.4</v>
      </c>
      <c r="K289" s="1">
        <v>166</v>
      </c>
      <c r="L289" s="1">
        <v>115.1</v>
      </c>
      <c r="M289" s="1">
        <v>168.5</v>
      </c>
      <c r="N289" s="1">
        <v>160</v>
      </c>
      <c r="O289" s="1">
        <v>172.4</v>
      </c>
      <c r="P289" s="1">
        <v>162.6</v>
      </c>
      <c r="Q289" s="1">
        <v>190.8</v>
      </c>
      <c r="R289" s="1">
        <v>162.19999999999999</v>
      </c>
      <c r="S289" s="1">
        <v>151.80000000000001</v>
      </c>
      <c r="T289" s="1">
        <v>154.80000000000001</v>
      </c>
      <c r="U289" s="1">
        <v>166.3</v>
      </c>
      <c r="V289" s="1">
        <v>150.69999999999999</v>
      </c>
      <c r="W289" s="1">
        <v>154.9</v>
      </c>
      <c r="X289" s="1">
        <v>161.69999999999999</v>
      </c>
      <c r="Y289" s="1">
        <v>158.80000000000001</v>
      </c>
      <c r="Z289" s="1">
        <v>157.6</v>
      </c>
    </row>
    <row r="290" spans="1:29">
      <c r="A290" s="7" t="s">
        <v>25</v>
      </c>
      <c r="B290" s="1">
        <v>160.69999999999999</v>
      </c>
      <c r="C290" s="1">
        <v>161.5</v>
      </c>
      <c r="D290" s="1">
        <v>146.4</v>
      </c>
      <c r="E290" s="1">
        <v>206.8</v>
      </c>
      <c r="F290" s="1">
        <v>182.2</v>
      </c>
      <c r="G290" s="1">
        <v>157.5</v>
      </c>
      <c r="H290" s="1">
        <v>182.1</v>
      </c>
      <c r="I290" s="1">
        <v>163.9</v>
      </c>
      <c r="J290" s="1">
        <v>164.2</v>
      </c>
      <c r="K290" s="1">
        <v>164</v>
      </c>
      <c r="L290" s="1">
        <v>114.5</v>
      </c>
      <c r="M290" s="1">
        <v>168.3</v>
      </c>
      <c r="N290" s="1">
        <v>160.9</v>
      </c>
      <c r="O290" s="1">
        <v>172.2</v>
      </c>
      <c r="P290" s="1">
        <v>164</v>
      </c>
      <c r="Q290" s="1">
        <v>191.2</v>
      </c>
      <c r="R290" s="1">
        <v>162.80000000000001</v>
      </c>
      <c r="S290" s="1">
        <v>153.1</v>
      </c>
      <c r="T290" s="1">
        <v>155.80000000000001</v>
      </c>
      <c r="U290" s="1">
        <v>167</v>
      </c>
      <c r="V290" s="1">
        <v>153.1</v>
      </c>
      <c r="W290" s="1">
        <v>155.30000000000001</v>
      </c>
      <c r="X290" s="1">
        <v>163.19999999999999</v>
      </c>
      <c r="Y290" s="1">
        <v>160.1</v>
      </c>
      <c r="Z290" s="1">
        <v>159</v>
      </c>
    </row>
    <row r="291" spans="1:29">
      <c r="A291" s="7" t="s">
        <v>27</v>
      </c>
      <c r="B291" s="1">
        <v>162.6</v>
      </c>
      <c r="C291" s="1">
        <v>162.1</v>
      </c>
      <c r="D291" s="1">
        <v>146.6</v>
      </c>
      <c r="E291" s="1">
        <v>204</v>
      </c>
      <c r="F291" s="1">
        <v>172.8</v>
      </c>
      <c r="G291" s="1">
        <v>158.4</v>
      </c>
      <c r="H291" s="1">
        <v>188</v>
      </c>
      <c r="I291" s="1">
        <v>156.80000000000001</v>
      </c>
      <c r="J291" s="1">
        <v>162.19999999999999</v>
      </c>
      <c r="K291" s="1">
        <v>164.1</v>
      </c>
      <c r="L291" s="1">
        <v>119.7</v>
      </c>
      <c r="M291" s="1">
        <v>168.8</v>
      </c>
      <c r="N291" s="1">
        <v>162.69999999999999</v>
      </c>
      <c r="O291" s="1">
        <v>173.9</v>
      </c>
      <c r="P291" s="1">
        <v>164</v>
      </c>
      <c r="Q291" s="1">
        <v>192.1</v>
      </c>
      <c r="R291" s="1">
        <v>164.5</v>
      </c>
      <c r="S291" s="1">
        <v>155.30000000000001</v>
      </c>
      <c r="T291" s="1">
        <v>157.5</v>
      </c>
      <c r="U291" s="1">
        <v>168.4</v>
      </c>
      <c r="V291" s="1">
        <v>154</v>
      </c>
      <c r="W291" s="1">
        <v>157.6</v>
      </c>
      <c r="X291" s="1">
        <v>163.80000000000001</v>
      </c>
      <c r="Y291" s="1">
        <v>160</v>
      </c>
      <c r="Z291" s="1">
        <v>160</v>
      </c>
    </row>
    <row r="292" spans="1:29">
      <c r="A292" s="7" t="s">
        <v>29</v>
      </c>
      <c r="B292" s="1">
        <v>162.6</v>
      </c>
      <c r="C292" s="1">
        <v>162.1</v>
      </c>
      <c r="D292" s="1">
        <v>146.6</v>
      </c>
      <c r="E292" s="1">
        <v>204</v>
      </c>
      <c r="F292" s="1">
        <v>172.8</v>
      </c>
      <c r="G292" s="1">
        <v>158.4</v>
      </c>
      <c r="H292" s="1">
        <v>188</v>
      </c>
      <c r="I292" s="1">
        <v>156.69999999999999</v>
      </c>
      <c r="J292" s="1">
        <v>162.30000000000001</v>
      </c>
      <c r="K292" s="1">
        <v>164.1</v>
      </c>
      <c r="L292" s="1">
        <v>119.7</v>
      </c>
      <c r="M292" s="1">
        <v>168.8</v>
      </c>
      <c r="N292" s="1">
        <v>162.69999999999999</v>
      </c>
      <c r="O292" s="1">
        <v>173.9</v>
      </c>
      <c r="P292" s="1">
        <v>164</v>
      </c>
      <c r="Q292" s="1">
        <v>192.1</v>
      </c>
      <c r="R292" s="1">
        <v>164.6</v>
      </c>
      <c r="S292" s="1">
        <v>155.30000000000001</v>
      </c>
      <c r="T292" s="1">
        <v>157.5</v>
      </c>
      <c r="U292" s="1">
        <v>168.4</v>
      </c>
      <c r="V292" s="1">
        <v>154</v>
      </c>
      <c r="W292" s="1">
        <v>157.69999999999999</v>
      </c>
      <c r="X292" s="1">
        <v>163.69999999999999</v>
      </c>
      <c r="Y292" s="1">
        <v>160</v>
      </c>
      <c r="Z292" s="1">
        <v>160</v>
      </c>
    </row>
    <row r="293" spans="1:29">
      <c r="A293" s="7" t="s">
        <v>31</v>
      </c>
      <c r="B293" s="1">
        <v>164.2</v>
      </c>
      <c r="C293" s="1">
        <v>163.6</v>
      </c>
      <c r="D293" s="1">
        <v>147.4</v>
      </c>
      <c r="E293" s="1">
        <v>204.6</v>
      </c>
      <c r="F293" s="1">
        <v>171.2</v>
      </c>
      <c r="G293" s="1">
        <v>158.69999999999999</v>
      </c>
      <c r="H293" s="1">
        <v>190.6</v>
      </c>
      <c r="I293" s="1">
        <v>155.69999999999999</v>
      </c>
      <c r="J293" s="1">
        <v>185.3</v>
      </c>
      <c r="K293" s="1">
        <v>165.2</v>
      </c>
      <c r="L293" s="1">
        <v>121.9</v>
      </c>
      <c r="M293" s="1">
        <v>169.3</v>
      </c>
      <c r="N293" s="1">
        <v>163.19999999999999</v>
      </c>
      <c r="O293" s="1">
        <v>174.7</v>
      </c>
      <c r="P293" s="1">
        <v>167.7</v>
      </c>
      <c r="Q293" s="1">
        <v>192.7</v>
      </c>
      <c r="R293" s="1">
        <v>165.7</v>
      </c>
      <c r="S293" s="1">
        <v>156.30000000000001</v>
      </c>
      <c r="T293" s="1">
        <v>158.4</v>
      </c>
      <c r="U293" s="1">
        <v>169.1</v>
      </c>
      <c r="V293" s="1">
        <v>155.69999999999999</v>
      </c>
      <c r="W293" s="1">
        <v>158.6</v>
      </c>
      <c r="X293" s="1">
        <v>163.9</v>
      </c>
      <c r="Y293" s="1">
        <v>160.80000000000001</v>
      </c>
      <c r="Z293" s="1">
        <v>161</v>
      </c>
    </row>
    <row r="294" spans="1:29">
      <c r="A294" s="7" t="s">
        <v>33</v>
      </c>
      <c r="B294" s="1">
        <v>163.9</v>
      </c>
      <c r="C294" s="1">
        <v>164.2</v>
      </c>
      <c r="D294" s="1">
        <v>148.19999999999999</v>
      </c>
      <c r="E294" s="1">
        <v>201.6</v>
      </c>
      <c r="F294" s="1">
        <v>173</v>
      </c>
      <c r="G294" s="1">
        <v>159.30000000000001</v>
      </c>
      <c r="H294" s="1">
        <v>190.1</v>
      </c>
      <c r="I294" s="1">
        <v>156.5</v>
      </c>
      <c r="J294" s="1">
        <v>199.2</v>
      </c>
      <c r="K294" s="1">
        <v>165.3</v>
      </c>
      <c r="L294" s="1">
        <v>122.4</v>
      </c>
      <c r="M294" s="1">
        <v>169.6</v>
      </c>
      <c r="N294" s="1">
        <v>163.69999999999999</v>
      </c>
      <c r="O294" s="1">
        <v>175.5</v>
      </c>
      <c r="P294" s="1">
        <v>169.7</v>
      </c>
      <c r="Q294" s="1">
        <v>192.9</v>
      </c>
      <c r="R294" s="1">
        <v>167.2</v>
      </c>
      <c r="S294" s="1">
        <v>157.4</v>
      </c>
      <c r="T294" s="1">
        <v>159.30000000000001</v>
      </c>
      <c r="U294" s="1">
        <v>169.9</v>
      </c>
      <c r="V294" s="1">
        <v>154.80000000000001</v>
      </c>
      <c r="W294" s="1">
        <v>159.80000000000001</v>
      </c>
      <c r="X294" s="1">
        <v>164.3</v>
      </c>
      <c r="Y294" s="1">
        <v>162.19999999999999</v>
      </c>
      <c r="Z294" s="1">
        <v>161.4</v>
      </c>
    </row>
    <row r="295" spans="1:29">
      <c r="A295" s="7" t="s">
        <v>35</v>
      </c>
      <c r="B295" s="1">
        <v>164.1</v>
      </c>
      <c r="C295" s="1">
        <v>163.4</v>
      </c>
      <c r="D295" s="1">
        <v>148.69999999999999</v>
      </c>
      <c r="E295" s="1">
        <v>198.8</v>
      </c>
      <c r="F295" s="1">
        <v>177.9</v>
      </c>
      <c r="G295" s="1">
        <v>159.9</v>
      </c>
      <c r="H295" s="1">
        <v>187.6</v>
      </c>
      <c r="I295" s="1">
        <v>154.9</v>
      </c>
      <c r="J295" s="1">
        <v>188.3</v>
      </c>
      <c r="K295" s="1">
        <v>164.4</v>
      </c>
      <c r="L295" s="1">
        <v>121</v>
      </c>
      <c r="M295" s="1">
        <v>170.5</v>
      </c>
      <c r="N295" s="1">
        <v>164.2</v>
      </c>
      <c r="O295" s="1">
        <v>176.5</v>
      </c>
      <c r="P295" s="1">
        <v>168.2</v>
      </c>
      <c r="Q295" s="1">
        <v>192.4</v>
      </c>
      <c r="R295" s="1">
        <v>168.5</v>
      </c>
      <c r="S295" s="1">
        <v>158.69999999999999</v>
      </c>
      <c r="T295" s="1">
        <v>160.19999999999999</v>
      </c>
      <c r="U295" s="1">
        <v>170.6</v>
      </c>
      <c r="V295" s="1">
        <v>155.69999999999999</v>
      </c>
      <c r="W295" s="1">
        <v>160.6</v>
      </c>
      <c r="X295" s="1">
        <v>164.4</v>
      </c>
      <c r="Y295" s="1">
        <v>162.6</v>
      </c>
      <c r="Z295" s="1">
        <v>162</v>
      </c>
    </row>
    <row r="296" spans="1:29">
      <c r="A296" s="7" t="s">
        <v>8</v>
      </c>
      <c r="B296" s="1">
        <v>159.05833333333331</v>
      </c>
      <c r="C296" s="1">
        <v>161.48333333333332</v>
      </c>
      <c r="D296" s="1">
        <v>146.20833333333334</v>
      </c>
      <c r="E296" s="1">
        <v>199.09166666666667</v>
      </c>
      <c r="F296" s="1">
        <v>172.77500000000001</v>
      </c>
      <c r="G296" s="1">
        <v>156.96666666666667</v>
      </c>
      <c r="H296" s="1">
        <v>177.69999999999996</v>
      </c>
      <c r="I296" s="1">
        <v>157.88333333333335</v>
      </c>
      <c r="J296" s="1">
        <v>167.71666666666667</v>
      </c>
      <c r="K296" s="1">
        <v>163.26666666666665</v>
      </c>
      <c r="L296" s="1">
        <v>116.85000000000002</v>
      </c>
      <c r="M296" s="1">
        <v>167.29999999999998</v>
      </c>
      <c r="N296" s="1">
        <v>159.8416666666667</v>
      </c>
      <c r="O296" s="1">
        <v>171.64166666666668</v>
      </c>
      <c r="P296" s="1">
        <v>162.79166666666669</v>
      </c>
      <c r="Q296" s="1">
        <v>190.65</v>
      </c>
      <c r="R296" s="1">
        <v>162.21666666666667</v>
      </c>
      <c r="S296" s="1">
        <v>152.49166666666665</v>
      </c>
      <c r="T296" s="1">
        <v>155.17499999999998</v>
      </c>
      <c r="U296" s="1">
        <v>165.84166666666667</v>
      </c>
      <c r="V296" s="1">
        <v>150.55833333333331</v>
      </c>
      <c r="W296" s="1">
        <v>155.6</v>
      </c>
      <c r="X296" s="1">
        <v>162.1166666666667</v>
      </c>
      <c r="Y296" s="1">
        <v>158.74166666666665</v>
      </c>
      <c r="Z296" s="1">
        <v>157.60833333333335</v>
      </c>
    </row>
    <row r="298" spans="1:29">
      <c r="A298" s="24" t="s">
        <v>142</v>
      </c>
      <c r="B298" s="23" t="s">
        <v>143</v>
      </c>
    </row>
    <row r="299" spans="1:29">
      <c r="A299" s="45">
        <v>44197</v>
      </c>
      <c r="B299" s="5">
        <v>66695.478654874634</v>
      </c>
      <c r="D299" s="7"/>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c r="A300" s="45">
        <v>44228</v>
      </c>
      <c r="B300" s="5">
        <v>60965.591062388856</v>
      </c>
      <c r="D300" s="7"/>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c r="A301" s="45">
        <v>44256</v>
      </c>
      <c r="B301" s="5">
        <v>75470.774130757563</v>
      </c>
      <c r="D301" s="7"/>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c r="A302" s="45">
        <v>44287</v>
      </c>
      <c r="B302" s="5">
        <v>74207.645156289771</v>
      </c>
      <c r="D302" s="7"/>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c r="A303" s="45">
        <v>44317</v>
      </c>
      <c r="B303" s="5">
        <v>70046.397374263441</v>
      </c>
      <c r="D303" s="7"/>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c r="A304" s="45">
        <v>44348</v>
      </c>
      <c r="B304" s="5">
        <v>71679.348913787879</v>
      </c>
      <c r="D304" s="7"/>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c r="A305" s="45">
        <v>44378</v>
      </c>
      <c r="B305" s="5">
        <v>72860.439470110607</v>
      </c>
      <c r="D305" s="7"/>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c r="A306" s="45">
        <v>44409</v>
      </c>
      <c r="B306" s="5">
        <v>80983.015512993996</v>
      </c>
      <c r="D306" s="7"/>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c r="A307" s="45">
        <v>44440</v>
      </c>
      <c r="B307" s="5">
        <v>83035.173906576631</v>
      </c>
      <c r="D307" s="7"/>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c r="A308" s="45">
        <v>44470</v>
      </c>
      <c r="B308" s="5">
        <v>91471.513995553876</v>
      </c>
      <c r="D308" s="7"/>
      <c r="E308" s="1"/>
      <c r="F308" s="100" t="s">
        <v>175</v>
      </c>
      <c r="G308" s="100"/>
      <c r="H308" s="1"/>
      <c r="I308" s="100" t="s">
        <v>176</v>
      </c>
      <c r="J308" s="100"/>
      <c r="K308" s="1"/>
      <c r="L308" s="100" t="s">
        <v>177</v>
      </c>
      <c r="M308" s="71"/>
      <c r="N308" s="1"/>
      <c r="O308" s="1"/>
      <c r="P308" s="1"/>
      <c r="Q308" s="1"/>
      <c r="R308" s="1"/>
      <c r="S308" s="1"/>
      <c r="T308" s="1"/>
      <c r="U308" s="1"/>
      <c r="V308" s="1"/>
      <c r="W308" s="1"/>
      <c r="X308" s="1"/>
      <c r="Y308" s="1"/>
      <c r="Z308" s="1"/>
      <c r="AA308" s="1"/>
      <c r="AB308" s="1"/>
      <c r="AC308" s="1"/>
    </row>
    <row r="309" spans="1:29">
      <c r="A309" s="45">
        <v>44501</v>
      </c>
      <c r="B309" s="5">
        <v>95105.451863192153</v>
      </c>
      <c r="D309" s="7"/>
      <c r="E309" s="1"/>
      <c r="F309" s="100"/>
      <c r="G309" s="100"/>
      <c r="H309" s="1"/>
      <c r="I309" s="100"/>
      <c r="J309" s="100"/>
      <c r="K309" s="1"/>
      <c r="L309" s="71"/>
      <c r="M309" s="71"/>
      <c r="N309" s="1"/>
      <c r="O309" s="1"/>
      <c r="P309" s="1"/>
      <c r="Q309" s="1"/>
      <c r="R309" s="1"/>
      <c r="S309" s="1"/>
      <c r="T309" s="1"/>
      <c r="U309" s="1"/>
      <c r="V309" s="1"/>
      <c r="W309" s="1"/>
      <c r="X309" s="1"/>
      <c r="Y309" s="1"/>
      <c r="Z309" s="1"/>
      <c r="AA309" s="1"/>
      <c r="AB309" s="1"/>
      <c r="AC309" s="1"/>
    </row>
    <row r="310" spans="1:29">
      <c r="A310" s="45">
        <v>44531</v>
      </c>
      <c r="B310" s="5">
        <v>100380.52800837092</v>
      </c>
      <c r="D310" s="7"/>
      <c r="E310" s="1"/>
      <c r="F310" s="100"/>
      <c r="G310" s="100"/>
      <c r="H310" s="1"/>
      <c r="I310" s="100"/>
      <c r="J310" s="100"/>
      <c r="K310" s="1"/>
      <c r="L310" s="71"/>
      <c r="M310" s="71"/>
      <c r="N310" s="1"/>
      <c r="O310" s="1"/>
      <c r="P310" s="1"/>
      <c r="Q310" s="1"/>
      <c r="R310" s="1"/>
      <c r="S310" s="1"/>
      <c r="T310" s="1"/>
      <c r="U310" s="1"/>
      <c r="V310" s="1"/>
      <c r="W310" s="1"/>
      <c r="X310" s="1"/>
      <c r="Y310" s="1"/>
      <c r="Z310" s="1"/>
      <c r="AA310" s="1"/>
      <c r="AB310" s="1"/>
      <c r="AC310" s="1"/>
    </row>
    <row r="311" spans="1:29">
      <c r="A311" s="45">
        <v>44562</v>
      </c>
      <c r="B311" s="5">
        <v>101828.28887769801</v>
      </c>
    </row>
    <row r="312" spans="1:29" ht="15.5">
      <c r="A312" s="45">
        <v>44593</v>
      </c>
      <c r="B312" s="5">
        <v>102317.68803371425</v>
      </c>
      <c r="F312" s="48" t="s">
        <v>149</v>
      </c>
      <c r="G312" s="48" t="s">
        <v>148</v>
      </c>
      <c r="I312" s="48" t="s">
        <v>149</v>
      </c>
      <c r="J312" s="48" t="s">
        <v>148</v>
      </c>
      <c r="L312" s="48" t="s">
        <v>149</v>
      </c>
      <c r="M312" s="48" t="s">
        <v>148</v>
      </c>
    </row>
    <row r="313" spans="1:29">
      <c r="A313" s="45">
        <v>44621</v>
      </c>
      <c r="B313" s="5">
        <v>134181.47733497745</v>
      </c>
      <c r="F313" s="47" t="s">
        <v>150</v>
      </c>
      <c r="G313" s="41">
        <v>0.81699356621713526</v>
      </c>
      <c r="I313" s="47" t="s">
        <v>150</v>
      </c>
      <c r="J313" s="41">
        <v>-0.15696310551496423</v>
      </c>
      <c r="L313" s="47" t="s">
        <v>150</v>
      </c>
      <c r="M313" s="41">
        <v>0.22379097764867795</v>
      </c>
    </row>
    <row r="314" spans="1:29">
      <c r="A314" s="45">
        <v>44652</v>
      </c>
      <c r="B314" s="5">
        <v>151257.77739211501</v>
      </c>
      <c r="F314" s="46" t="s">
        <v>153</v>
      </c>
      <c r="G314" s="41">
        <v>0.50126054986782287</v>
      </c>
      <c r="I314" s="46" t="s">
        <v>153</v>
      </c>
      <c r="J314" s="41">
        <v>0.40826708086591257</v>
      </c>
      <c r="L314" s="46" t="s">
        <v>153</v>
      </c>
      <c r="M314" s="41">
        <v>-0.14594731986967616</v>
      </c>
    </row>
    <row r="315" spans="1:29">
      <c r="A315" s="45">
        <v>44682</v>
      </c>
      <c r="B315" s="5">
        <v>137781.52369026651</v>
      </c>
      <c r="F315" s="46" t="s">
        <v>154</v>
      </c>
      <c r="G315" s="41">
        <v>0.15112501706304118</v>
      </c>
      <c r="I315" s="46" t="s">
        <v>154</v>
      </c>
      <c r="J315" s="41">
        <v>-4.8156445861384338E-3</v>
      </c>
      <c r="L315" s="46" t="s">
        <v>154</v>
      </c>
      <c r="M315" s="41">
        <v>0.80416225954599951</v>
      </c>
    </row>
    <row r="316" spans="1:29">
      <c r="A316" s="45">
        <v>44713</v>
      </c>
      <c r="B316" s="5">
        <v>140361.99809642398</v>
      </c>
      <c r="F316" s="46" t="s">
        <v>155</v>
      </c>
      <c r="G316" s="41">
        <v>0.93318417154863531</v>
      </c>
      <c r="I316" s="46" t="s">
        <v>155</v>
      </c>
      <c r="J316" s="41">
        <v>-0.12746125095795227</v>
      </c>
      <c r="L316" s="46" t="s">
        <v>155</v>
      </c>
      <c r="M316" s="41">
        <v>-0.79136512609363341</v>
      </c>
    </row>
    <row r="317" spans="1:29">
      <c r="A317" s="45">
        <v>44743</v>
      </c>
      <c r="B317" s="5">
        <v>148619.35499624049</v>
      </c>
      <c r="F317" s="46" t="s">
        <v>156</v>
      </c>
      <c r="G317" s="41">
        <v>-0.25893236700943972</v>
      </c>
      <c r="I317" s="46" t="s">
        <v>156</v>
      </c>
      <c r="J317" s="41">
        <v>-0.70207792066553043</v>
      </c>
      <c r="L317" s="46" t="s">
        <v>156</v>
      </c>
      <c r="M317" s="41">
        <v>0.77348678426967088</v>
      </c>
    </row>
    <row r="318" spans="1:29">
      <c r="A318" s="45">
        <v>44774</v>
      </c>
      <c r="B318" s="5">
        <v>120976.19320076992</v>
      </c>
      <c r="F318" s="46" t="s">
        <v>157</v>
      </c>
      <c r="G318" s="41">
        <v>-3.0115713519875076E-2</v>
      </c>
      <c r="I318" s="46" t="s">
        <v>157</v>
      </c>
      <c r="J318" s="41">
        <v>0.7604774391553436</v>
      </c>
      <c r="L318" s="46" t="s">
        <v>157</v>
      </c>
      <c r="M318" s="41">
        <v>-0.86396578615409148</v>
      </c>
    </row>
    <row r="319" spans="1:29">
      <c r="A319" s="45">
        <v>44805</v>
      </c>
      <c r="B319" s="5">
        <v>110015.88104199871</v>
      </c>
      <c r="F319" s="46" t="s">
        <v>158</v>
      </c>
      <c r="G319" s="41">
        <v>0.19750068603218066</v>
      </c>
      <c r="I319" s="46" t="s">
        <v>158</v>
      </c>
      <c r="J319" s="41">
        <v>0.44975594711440081</v>
      </c>
      <c r="L319" s="46" t="s">
        <v>158</v>
      </c>
      <c r="M319" s="41">
        <v>-0.42870989526016418</v>
      </c>
    </row>
    <row r="320" spans="1:29">
      <c r="A320" s="45">
        <v>44835</v>
      </c>
      <c r="B320" s="5">
        <v>116548.19734168371</v>
      </c>
      <c r="F320" s="46" t="s">
        <v>159</v>
      </c>
      <c r="G320" s="41">
        <v>0.94291481209288308</v>
      </c>
      <c r="I320" s="46" t="s">
        <v>159</v>
      </c>
      <c r="J320" s="41">
        <v>0.63090811803177571</v>
      </c>
      <c r="L320" s="46" t="s">
        <v>159</v>
      </c>
      <c r="M320" s="41">
        <v>-0.62974798171859958</v>
      </c>
    </row>
    <row r="321" spans="1:13">
      <c r="A321" s="45">
        <v>44866</v>
      </c>
      <c r="B321" s="5">
        <v>118277.27620134089</v>
      </c>
      <c r="F321" s="46" t="s">
        <v>160</v>
      </c>
      <c r="G321" s="41">
        <v>0.85638559425642469</v>
      </c>
      <c r="I321" s="46" t="s">
        <v>160</v>
      </c>
      <c r="J321" s="41">
        <v>0.39141364277602314</v>
      </c>
      <c r="L321" s="46" t="s">
        <v>160</v>
      </c>
      <c r="M321" s="41">
        <v>-0.34707122310292232</v>
      </c>
    </row>
    <row r="322" spans="1:13">
      <c r="A322" s="45">
        <v>44896</v>
      </c>
      <c r="B322" s="5">
        <v>112095.477543425</v>
      </c>
      <c r="F322" s="46" t="s">
        <v>161</v>
      </c>
      <c r="G322" s="41">
        <v>0.91098685402970581</v>
      </c>
      <c r="I322" s="46" t="s">
        <v>161</v>
      </c>
      <c r="J322" s="41">
        <v>0.59661485513401447</v>
      </c>
      <c r="L322" s="46" t="s">
        <v>161</v>
      </c>
      <c r="M322" s="41">
        <v>-0.62314606269941808</v>
      </c>
    </row>
    <row r="323" spans="1:13">
      <c r="A323" s="45">
        <v>44927</v>
      </c>
      <c r="B323" s="5">
        <v>108892.9652336391</v>
      </c>
      <c r="F323" s="46" t="s">
        <v>162</v>
      </c>
      <c r="G323" s="41">
        <v>0.87920745847966508</v>
      </c>
      <c r="I323" s="46" t="s">
        <v>162</v>
      </c>
      <c r="J323" s="41">
        <v>0.71904047180957698</v>
      </c>
      <c r="L323" s="46" t="s">
        <v>162</v>
      </c>
      <c r="M323" s="41">
        <v>-0.79373492458058237</v>
      </c>
    </row>
    <row r="324" spans="1:13">
      <c r="A324" s="45">
        <v>44958</v>
      </c>
      <c r="B324" s="5">
        <v>103743.50619254357</v>
      </c>
      <c r="F324" s="46" t="s">
        <v>163</v>
      </c>
      <c r="G324" s="41">
        <v>0.88831699112299667</v>
      </c>
      <c r="I324" s="46" t="s">
        <v>163</v>
      </c>
      <c r="J324" s="41">
        <v>0.67873305316568644</v>
      </c>
      <c r="L324" s="46" t="s">
        <v>163</v>
      </c>
      <c r="M324" s="41">
        <v>-0.77383696024893855</v>
      </c>
    </row>
    <row r="325" spans="1:13">
      <c r="A325" s="45">
        <v>44986</v>
      </c>
      <c r="B325" s="5">
        <v>107655.66151560735</v>
      </c>
      <c r="F325" s="46" t="s">
        <v>164</v>
      </c>
      <c r="G325" s="41">
        <v>0.7592679092424286</v>
      </c>
      <c r="I325" s="46" t="s">
        <v>164</v>
      </c>
      <c r="J325" s="41">
        <v>0.61381143745012146</v>
      </c>
      <c r="L325" s="46" t="s">
        <v>164</v>
      </c>
      <c r="M325" s="41">
        <v>-0.63951288304701226</v>
      </c>
    </row>
    <row r="326" spans="1:13">
      <c r="A326" s="45">
        <v>45017</v>
      </c>
      <c r="B326" s="5">
        <v>101450.65404893839</v>
      </c>
      <c r="F326" s="46" t="s">
        <v>165</v>
      </c>
      <c r="G326" s="41">
        <v>0.94840292483413746</v>
      </c>
      <c r="I326" s="46" t="s">
        <v>165</v>
      </c>
      <c r="J326" s="41">
        <v>0.75866475606664496</v>
      </c>
      <c r="L326" s="46" t="s">
        <v>165</v>
      </c>
      <c r="M326" s="41">
        <v>-0.83445381998053259</v>
      </c>
    </row>
    <row r="327" spans="1:13">
      <c r="A327" s="45">
        <v>45047</v>
      </c>
      <c r="B327" s="5">
        <v>103373.22868018913</v>
      </c>
      <c r="F327" s="46" t="s">
        <v>166</v>
      </c>
      <c r="G327" s="41">
        <v>0.89028186771499074</v>
      </c>
      <c r="I327" s="46" t="s">
        <v>166</v>
      </c>
      <c r="J327" s="41">
        <v>0.71850763321640643</v>
      </c>
      <c r="L327" s="46" t="s">
        <v>166</v>
      </c>
      <c r="M327" s="41">
        <v>-0.83817572385169514</v>
      </c>
    </row>
    <row r="328" spans="1:13">
      <c r="F328" s="46" t="s">
        <v>167</v>
      </c>
      <c r="G328" s="41">
        <v>0.87603589940976057</v>
      </c>
      <c r="I328" s="46" t="s">
        <v>167</v>
      </c>
      <c r="J328" s="41">
        <v>0.70515436391609876</v>
      </c>
      <c r="L328" s="46" t="s">
        <v>167</v>
      </c>
      <c r="M328" s="41">
        <v>-0.7902823607738011</v>
      </c>
    </row>
    <row r="329" spans="1:13">
      <c r="F329" s="46" t="s">
        <v>168</v>
      </c>
      <c r="G329" s="41">
        <v>0.90123607986324872</v>
      </c>
      <c r="I329" s="46" t="s">
        <v>168</v>
      </c>
      <c r="J329" s="41">
        <v>0.67842875169613281</v>
      </c>
      <c r="L329" s="46" t="s">
        <v>168</v>
      </c>
      <c r="M329" s="41">
        <v>-0.76921119649805925</v>
      </c>
    </row>
    <row r="330" spans="1:13">
      <c r="F330" s="46" t="s">
        <v>169</v>
      </c>
      <c r="G330" s="41">
        <v>0.92921596016197106</v>
      </c>
      <c r="I330" s="46" t="s">
        <v>169</v>
      </c>
      <c r="J330" s="41">
        <v>0.6852776347294145</v>
      </c>
      <c r="L330" s="46" t="s">
        <v>169</v>
      </c>
      <c r="M330" s="41">
        <v>-0.78236793225979739</v>
      </c>
    </row>
    <row r="331" spans="1:13">
      <c r="F331" s="46" t="s">
        <v>170</v>
      </c>
      <c r="G331" s="41">
        <v>0.68094109434958783</v>
      </c>
      <c r="I331" s="46" t="s">
        <v>170</v>
      </c>
      <c r="J331" s="41">
        <v>0.706589058857925</v>
      </c>
      <c r="L331" s="46" t="s">
        <v>170</v>
      </c>
      <c r="M331" s="41">
        <v>-0.78846169800042876</v>
      </c>
    </row>
    <row r="332" spans="1:13">
      <c r="F332" s="46" t="s">
        <v>171</v>
      </c>
      <c r="G332" s="41">
        <v>0.87095078576785567</v>
      </c>
      <c r="I332" s="46" t="s">
        <v>171</v>
      </c>
      <c r="J332" s="41">
        <v>0.69242736084456102</v>
      </c>
      <c r="L332" s="46" t="s">
        <v>171</v>
      </c>
      <c r="M332" s="41">
        <v>-0.77021113147140408</v>
      </c>
    </row>
    <row r="333" spans="1:13">
      <c r="F333" s="46" t="s">
        <v>172</v>
      </c>
      <c r="G333" s="41">
        <v>0.85689583022079863</v>
      </c>
      <c r="I333" s="46" t="s">
        <v>172</v>
      </c>
      <c r="J333" s="41">
        <v>0.73214441863773916</v>
      </c>
      <c r="L333" s="46" t="s">
        <v>172</v>
      </c>
      <c r="M333" s="41">
        <v>-0.77761167630243233</v>
      </c>
    </row>
    <row r="334" spans="1:13">
      <c r="F334" s="46" t="s">
        <v>173</v>
      </c>
      <c r="G334" s="41">
        <v>0.91611428169939102</v>
      </c>
      <c r="I334" s="46" t="s">
        <v>173</v>
      </c>
      <c r="J334" s="41">
        <v>0.75618844059282275</v>
      </c>
      <c r="L334" s="46" t="s">
        <v>173</v>
      </c>
      <c r="M334" s="41">
        <v>-0.81783970930302086</v>
      </c>
    </row>
    <row r="335" spans="1:13">
      <c r="F335" s="46" t="s">
        <v>174</v>
      </c>
      <c r="G335" s="41">
        <v>0.87962369312901212</v>
      </c>
      <c r="I335" s="46" t="s">
        <v>174</v>
      </c>
      <c r="J335" s="41">
        <v>0.72327557633190986</v>
      </c>
      <c r="L335" s="46" t="s">
        <v>174</v>
      </c>
      <c r="M335" s="41">
        <v>-0.7976777781537624</v>
      </c>
    </row>
    <row r="336" spans="1:13">
      <c r="F336" s="47" t="s">
        <v>151</v>
      </c>
      <c r="G336" s="41">
        <v>0.78129700504175759</v>
      </c>
      <c r="I336" s="47" t="s">
        <v>151</v>
      </c>
      <c r="J336" s="41">
        <v>-2.7572856212817139E-2</v>
      </c>
      <c r="L336" s="47" t="s">
        <v>151</v>
      </c>
      <c r="M336" s="41">
        <v>-0.12233644420385749</v>
      </c>
    </row>
    <row r="337" spans="5:14">
      <c r="F337" s="47" t="s">
        <v>152</v>
      </c>
      <c r="G337" s="41">
        <v>0.897228772509995</v>
      </c>
      <c r="I337" s="47" t="s">
        <v>152</v>
      </c>
      <c r="J337" s="41">
        <v>0.77450075087221593</v>
      </c>
      <c r="L337" s="47" t="s">
        <v>152</v>
      </c>
      <c r="M337" s="41">
        <v>-0.84075344154313025</v>
      </c>
    </row>
    <row r="339" spans="5:14">
      <c r="E339" s="101" t="s">
        <v>183</v>
      </c>
      <c r="F339" s="102"/>
      <c r="G339" s="102"/>
      <c r="H339" s="102"/>
      <c r="I339" s="102"/>
      <c r="J339" s="102"/>
      <c r="K339" s="102"/>
      <c r="L339" s="102"/>
      <c r="M339" s="102"/>
      <c r="N339" s="103"/>
    </row>
    <row r="340" spans="5:14">
      <c r="E340" s="104"/>
      <c r="F340" s="105"/>
      <c r="G340" s="105"/>
      <c r="H340" s="105"/>
      <c r="I340" s="105"/>
      <c r="J340" s="105"/>
      <c r="K340" s="105"/>
      <c r="L340" s="105"/>
      <c r="M340" s="105"/>
      <c r="N340" s="106"/>
    </row>
    <row r="341" spans="5:14">
      <c r="E341" s="104"/>
      <c r="F341" s="105"/>
      <c r="G341" s="105"/>
      <c r="H341" s="105"/>
      <c r="I341" s="105"/>
      <c r="J341" s="105"/>
      <c r="K341" s="105"/>
      <c r="L341" s="105"/>
      <c r="M341" s="105"/>
      <c r="N341" s="106"/>
    </row>
    <row r="342" spans="5:14">
      <c r="E342" s="107"/>
      <c r="F342" s="108"/>
      <c r="G342" s="108"/>
      <c r="H342" s="108"/>
      <c r="I342" s="108"/>
      <c r="J342" s="108"/>
      <c r="K342" s="108"/>
      <c r="L342" s="108"/>
      <c r="M342" s="108"/>
      <c r="N342" s="109"/>
    </row>
  </sheetData>
  <mergeCells count="16">
    <mergeCell ref="F308:G310"/>
    <mergeCell ref="I308:J310"/>
    <mergeCell ref="L308:M310"/>
    <mergeCell ref="E339:N342"/>
    <mergeCell ref="A33:C34"/>
    <mergeCell ref="C120:L123"/>
    <mergeCell ref="A172:C175"/>
    <mergeCell ref="A262:C263"/>
    <mergeCell ref="A207:G210"/>
    <mergeCell ref="A8:B9"/>
    <mergeCell ref="A24:I26"/>
    <mergeCell ref="E63:I65"/>
    <mergeCell ref="A73:C75"/>
    <mergeCell ref="A184:B185"/>
    <mergeCell ref="A77:D81"/>
    <mergeCell ref="A85:C86"/>
  </mergeCells>
  <conditionalFormatting sqref="G313:G337">
    <cfRule type="colorScale" priority="3">
      <colorScale>
        <cfvo type="min"/>
        <cfvo type="percentile" val="50"/>
        <cfvo type="max"/>
        <color rgb="FFF8696B"/>
        <color rgb="FFFFEB84"/>
        <color rgb="FF63BE7B"/>
      </colorScale>
    </cfRule>
  </conditionalFormatting>
  <conditionalFormatting sqref="J313:J337">
    <cfRule type="colorScale" priority="2">
      <colorScale>
        <cfvo type="min"/>
        <cfvo type="percentile" val="50"/>
        <cfvo type="max"/>
        <color rgb="FFF8696B"/>
        <color rgb="FFFFEB84"/>
        <color rgb="FF63BE7B"/>
      </colorScale>
    </cfRule>
  </conditionalFormatting>
  <conditionalFormatting sqref="M313:M337">
    <cfRule type="colorScale" priority="1">
      <colorScale>
        <cfvo type="min"/>
        <cfvo type="percentile" val="50"/>
        <cfvo type="max"/>
        <color rgb="FFF8696B"/>
        <color rgb="FFFFEB84"/>
        <color rgb="FF63BE7B"/>
      </colorScale>
    </cfRule>
  </conditionalFormatting>
  <pageMargins left="0.7" right="0.7" top="0.75" bottom="0.75" header="0.3" footer="0.3"/>
  <ignoredErrors>
    <ignoredError sqref="D114" twoDigitTextYear="1"/>
  </ignoredErrors>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4"/>
  <sheetViews>
    <sheetView showGridLines="0" topLeftCell="A54" zoomScale="63" zoomScaleNormal="63" workbookViewId="0">
      <selection activeCell="AA12" sqref="AA12"/>
    </sheetView>
  </sheetViews>
  <sheetFormatPr defaultRowHeight="14"/>
  <cols>
    <col min="2" max="2" width="32.9140625" bestFit="1" customWidth="1"/>
    <col min="3" max="3" width="11.9140625" bestFit="1" customWidth="1"/>
    <col min="6" max="6" width="32.9140625" bestFit="1" customWidth="1"/>
    <col min="7" max="7" width="11.9140625" bestFit="1" customWidth="1"/>
    <col min="9" max="9" width="8.9140625" customWidth="1"/>
    <col min="10" max="10" width="32.9140625" bestFit="1" customWidth="1"/>
    <col min="11" max="11" width="11.9140625" bestFit="1" customWidth="1"/>
  </cols>
  <sheetData>
    <row r="1" spans="1:27" ht="14.4" customHeight="1">
      <c r="A1" s="142" t="s">
        <v>185</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row>
    <row r="2" spans="1:27" ht="13.25" customHeight="1">
      <c r="A2" s="143"/>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row>
    <row r="37" spans="25:25" ht="16.75" customHeight="1"/>
    <row r="44" spans="25:25" ht="15">
      <c r="Y44" s="50"/>
    </row>
    <row r="57" spans="2:22" ht="14.4" customHeight="1">
      <c r="B57" s="144" t="s">
        <v>175</v>
      </c>
      <c r="C57" s="144"/>
      <c r="F57" s="144" t="s">
        <v>176</v>
      </c>
      <c r="G57" s="144"/>
      <c r="J57" s="144" t="s">
        <v>177</v>
      </c>
      <c r="K57" s="144"/>
      <c r="M57" s="145" t="s">
        <v>190</v>
      </c>
      <c r="N57" s="145"/>
      <c r="O57" s="145"/>
      <c r="P57" s="145"/>
      <c r="Q57" s="145"/>
      <c r="R57" s="145"/>
      <c r="S57" s="145"/>
      <c r="T57" s="145"/>
      <c r="U57" s="145"/>
      <c r="V57" s="145"/>
    </row>
    <row r="58" spans="2:22">
      <c r="B58" s="144"/>
      <c r="C58" s="144"/>
      <c r="F58" s="144"/>
      <c r="G58" s="144"/>
      <c r="J58" s="144"/>
      <c r="K58" s="144"/>
      <c r="M58" s="145"/>
      <c r="N58" s="145"/>
      <c r="O58" s="145"/>
      <c r="P58" s="145"/>
      <c r="Q58" s="145"/>
      <c r="R58" s="145"/>
      <c r="S58" s="145"/>
      <c r="T58" s="145"/>
      <c r="U58" s="145"/>
      <c r="V58" s="145"/>
    </row>
    <row r="59" spans="2:22" ht="15.5">
      <c r="B59" s="51" t="s">
        <v>149</v>
      </c>
      <c r="C59" s="51" t="s">
        <v>148</v>
      </c>
      <c r="F59" s="51" t="s">
        <v>149</v>
      </c>
      <c r="G59" s="51" t="s">
        <v>148</v>
      </c>
      <c r="J59" s="51" t="s">
        <v>149</v>
      </c>
      <c r="K59" s="51" t="s">
        <v>148</v>
      </c>
      <c r="M59" s="145"/>
      <c r="N59" s="145"/>
      <c r="O59" s="145"/>
      <c r="P59" s="145"/>
      <c r="Q59" s="145"/>
      <c r="R59" s="145"/>
      <c r="S59" s="145"/>
      <c r="T59" s="145"/>
      <c r="U59" s="145"/>
      <c r="V59" s="145"/>
    </row>
    <row r="60" spans="2:22">
      <c r="B60" s="52" t="s">
        <v>150</v>
      </c>
      <c r="C60" s="54">
        <v>0.81699356621713526</v>
      </c>
      <c r="F60" s="52" t="s">
        <v>150</v>
      </c>
      <c r="G60" s="54">
        <v>-0.15696310551496423</v>
      </c>
      <c r="J60" s="52" t="s">
        <v>150</v>
      </c>
      <c r="K60" s="54">
        <v>0.22379097764867795</v>
      </c>
      <c r="M60" s="145"/>
      <c r="N60" s="145"/>
      <c r="O60" s="145"/>
      <c r="P60" s="145"/>
      <c r="Q60" s="145"/>
      <c r="R60" s="145"/>
      <c r="S60" s="145"/>
      <c r="T60" s="145"/>
      <c r="U60" s="145"/>
      <c r="V60" s="145"/>
    </row>
    <row r="61" spans="2:22">
      <c r="B61" s="53" t="s">
        <v>153</v>
      </c>
      <c r="C61" s="54">
        <v>0.50126054986782287</v>
      </c>
      <c r="F61" s="53" t="s">
        <v>153</v>
      </c>
      <c r="G61" s="54">
        <v>0.40826708086591257</v>
      </c>
      <c r="J61" s="53" t="s">
        <v>153</v>
      </c>
      <c r="K61" s="54">
        <v>-0.14594731986967616</v>
      </c>
      <c r="M61" s="55"/>
      <c r="N61" s="55"/>
      <c r="O61" s="55"/>
      <c r="P61" s="55"/>
      <c r="Q61" s="55"/>
      <c r="R61" s="55"/>
      <c r="S61" s="55"/>
      <c r="T61" s="55"/>
      <c r="U61" s="55"/>
      <c r="V61" s="55"/>
    </row>
    <row r="62" spans="2:22">
      <c r="B62" s="53" t="s">
        <v>154</v>
      </c>
      <c r="C62" s="54">
        <v>0.15112501706304118</v>
      </c>
      <c r="F62" s="53" t="s">
        <v>154</v>
      </c>
      <c r="G62" s="54">
        <v>-4.8156445861384338E-3</v>
      </c>
      <c r="J62" s="53" t="s">
        <v>154</v>
      </c>
      <c r="K62" s="54">
        <v>0.80416225954599951</v>
      </c>
      <c r="M62" s="145" t="s">
        <v>191</v>
      </c>
      <c r="N62" s="145"/>
      <c r="O62" s="145"/>
      <c r="P62" s="145"/>
      <c r="Q62" s="145"/>
      <c r="R62" s="145"/>
      <c r="S62" s="145"/>
      <c r="T62" s="145"/>
      <c r="U62" s="145"/>
      <c r="V62" s="145"/>
    </row>
    <row r="63" spans="2:22">
      <c r="B63" s="53" t="s">
        <v>155</v>
      </c>
      <c r="C63" s="54">
        <v>0.93318417154863531</v>
      </c>
      <c r="F63" s="53" t="s">
        <v>155</v>
      </c>
      <c r="G63" s="54">
        <v>-0.12746125095795227</v>
      </c>
      <c r="J63" s="53" t="s">
        <v>155</v>
      </c>
      <c r="K63" s="54">
        <v>-0.79136512609363341</v>
      </c>
      <c r="M63" s="145"/>
      <c r="N63" s="145"/>
      <c r="O63" s="145"/>
      <c r="P63" s="145"/>
      <c r="Q63" s="145"/>
      <c r="R63" s="145"/>
      <c r="S63" s="145"/>
      <c r="T63" s="145"/>
      <c r="U63" s="145"/>
      <c r="V63" s="145"/>
    </row>
    <row r="64" spans="2:22">
      <c r="B64" s="53" t="s">
        <v>156</v>
      </c>
      <c r="C64" s="54">
        <v>-0.25893236700943972</v>
      </c>
      <c r="F64" s="53" t="s">
        <v>156</v>
      </c>
      <c r="G64" s="54">
        <v>-0.70207792066553043</v>
      </c>
      <c r="J64" s="53" t="s">
        <v>156</v>
      </c>
      <c r="K64" s="54">
        <v>0.77348678426967088</v>
      </c>
      <c r="M64" s="145"/>
      <c r="N64" s="145"/>
      <c r="O64" s="145"/>
      <c r="P64" s="145"/>
      <c r="Q64" s="145"/>
      <c r="R64" s="145"/>
      <c r="S64" s="145"/>
      <c r="T64" s="145"/>
      <c r="U64" s="145"/>
      <c r="V64" s="145"/>
    </row>
    <row r="65" spans="2:22">
      <c r="B65" s="53" t="s">
        <v>157</v>
      </c>
      <c r="C65" s="54">
        <v>-3.0115713519875076E-2</v>
      </c>
      <c r="F65" s="53" t="s">
        <v>157</v>
      </c>
      <c r="G65" s="54">
        <v>0.7604774391553436</v>
      </c>
      <c r="J65" s="53" t="s">
        <v>157</v>
      </c>
      <c r="K65" s="54">
        <v>-0.86396578615409148</v>
      </c>
      <c r="M65" s="145"/>
      <c r="N65" s="145"/>
      <c r="O65" s="145"/>
      <c r="P65" s="145"/>
      <c r="Q65" s="145"/>
      <c r="R65" s="145"/>
      <c r="S65" s="145"/>
      <c r="T65" s="145"/>
      <c r="U65" s="145"/>
      <c r="V65" s="145"/>
    </row>
    <row r="66" spans="2:22">
      <c r="B66" s="53" t="s">
        <v>158</v>
      </c>
      <c r="C66" s="54">
        <v>0.19750068603218066</v>
      </c>
      <c r="F66" s="53" t="s">
        <v>158</v>
      </c>
      <c r="G66" s="54">
        <v>0.44975594711440081</v>
      </c>
      <c r="J66" s="53" t="s">
        <v>158</v>
      </c>
      <c r="K66" s="54">
        <v>-0.42870989526016418</v>
      </c>
      <c r="M66" s="145"/>
      <c r="N66" s="145"/>
      <c r="O66" s="145"/>
      <c r="P66" s="145"/>
      <c r="Q66" s="145"/>
      <c r="R66" s="145"/>
      <c r="S66" s="145"/>
      <c r="T66" s="145"/>
      <c r="U66" s="145"/>
      <c r="V66" s="145"/>
    </row>
    <row r="67" spans="2:22">
      <c r="B67" s="53" t="s">
        <v>159</v>
      </c>
      <c r="C67" s="54">
        <v>0.94291481209288308</v>
      </c>
      <c r="F67" s="53" t="s">
        <v>159</v>
      </c>
      <c r="G67" s="54">
        <v>0.63090811803177571</v>
      </c>
      <c r="J67" s="53" t="s">
        <v>159</v>
      </c>
      <c r="K67" s="54">
        <v>-0.62974798171859958</v>
      </c>
      <c r="M67" s="55"/>
      <c r="N67" s="55"/>
      <c r="O67" s="55"/>
      <c r="P67" s="55"/>
      <c r="Q67" s="55"/>
      <c r="R67" s="55"/>
      <c r="S67" s="55"/>
      <c r="T67" s="55"/>
      <c r="U67" s="55"/>
      <c r="V67" s="55"/>
    </row>
    <row r="68" spans="2:22">
      <c r="B68" s="53" t="s">
        <v>160</v>
      </c>
      <c r="C68" s="54">
        <v>0.85638559425642469</v>
      </c>
      <c r="F68" s="53" t="s">
        <v>160</v>
      </c>
      <c r="G68" s="54">
        <v>0.39141364277602314</v>
      </c>
      <c r="J68" s="53" t="s">
        <v>160</v>
      </c>
      <c r="K68" s="54">
        <v>-0.34707122310292232</v>
      </c>
      <c r="M68" s="55"/>
      <c r="N68" s="55"/>
      <c r="O68" s="55"/>
      <c r="P68" s="55"/>
      <c r="Q68" s="55"/>
      <c r="R68" s="55"/>
      <c r="S68" s="55"/>
      <c r="T68" s="55"/>
      <c r="U68" s="55"/>
      <c r="V68" s="55"/>
    </row>
    <row r="69" spans="2:22">
      <c r="B69" s="53" t="s">
        <v>161</v>
      </c>
      <c r="C69" s="54">
        <v>0.91098685402970581</v>
      </c>
      <c r="F69" s="53" t="s">
        <v>161</v>
      </c>
      <c r="G69" s="54">
        <v>0.59661485513401447</v>
      </c>
      <c r="J69" s="53" t="s">
        <v>161</v>
      </c>
      <c r="K69" s="54">
        <v>-0.62314606269941808</v>
      </c>
      <c r="M69" s="55"/>
      <c r="N69" s="55"/>
      <c r="O69" s="55"/>
      <c r="P69" s="55"/>
      <c r="Q69" s="55"/>
      <c r="R69" s="55"/>
      <c r="S69" s="55"/>
      <c r="T69" s="55"/>
      <c r="U69" s="55"/>
      <c r="V69" s="55"/>
    </row>
    <row r="70" spans="2:22">
      <c r="B70" s="53" t="s">
        <v>162</v>
      </c>
      <c r="C70" s="54">
        <v>0.87920745847966508</v>
      </c>
      <c r="F70" s="53" t="s">
        <v>162</v>
      </c>
      <c r="G70" s="54">
        <v>0.71904047180957698</v>
      </c>
      <c r="J70" s="53" t="s">
        <v>162</v>
      </c>
      <c r="K70" s="54">
        <v>-0.79373492458058237</v>
      </c>
      <c r="M70" s="55"/>
      <c r="N70" s="55"/>
      <c r="O70" s="55"/>
      <c r="P70" s="55"/>
      <c r="Q70" s="55"/>
      <c r="R70" s="55"/>
      <c r="S70" s="55"/>
      <c r="T70" s="55"/>
      <c r="U70" s="55"/>
      <c r="V70" s="55"/>
    </row>
    <row r="71" spans="2:22">
      <c r="B71" s="53" t="s">
        <v>163</v>
      </c>
      <c r="C71" s="54">
        <v>0.88831699112299667</v>
      </c>
      <c r="F71" s="53" t="s">
        <v>163</v>
      </c>
      <c r="G71" s="54">
        <v>0.67873305316568644</v>
      </c>
      <c r="J71" s="53" t="s">
        <v>163</v>
      </c>
      <c r="K71" s="54">
        <v>-0.77383696024893855</v>
      </c>
      <c r="M71" s="55"/>
      <c r="N71" s="55"/>
      <c r="O71" s="55"/>
      <c r="P71" s="55"/>
      <c r="Q71" s="55"/>
      <c r="R71" s="55"/>
      <c r="S71" s="55"/>
      <c r="T71" s="55"/>
      <c r="U71" s="55"/>
      <c r="V71" s="55"/>
    </row>
    <row r="72" spans="2:22">
      <c r="B72" s="53" t="s">
        <v>164</v>
      </c>
      <c r="C72" s="54">
        <v>0.7592679092424286</v>
      </c>
      <c r="F72" s="53" t="s">
        <v>164</v>
      </c>
      <c r="G72" s="54">
        <v>0.61381143745012146</v>
      </c>
      <c r="J72" s="53" t="s">
        <v>164</v>
      </c>
      <c r="K72" s="54">
        <v>-0.63951288304701226</v>
      </c>
      <c r="M72" s="55"/>
      <c r="N72" s="55"/>
      <c r="O72" s="55"/>
      <c r="P72" s="55"/>
      <c r="Q72" s="55"/>
      <c r="R72" s="55"/>
      <c r="S72" s="55"/>
      <c r="T72" s="55"/>
      <c r="U72" s="55"/>
      <c r="V72" s="55"/>
    </row>
    <row r="73" spans="2:22">
      <c r="B73" s="53" t="s">
        <v>165</v>
      </c>
      <c r="C73" s="54">
        <v>0.94840292483413746</v>
      </c>
      <c r="F73" s="53" t="s">
        <v>165</v>
      </c>
      <c r="G73" s="54">
        <v>0.75866475606664496</v>
      </c>
      <c r="J73" s="53" t="s">
        <v>165</v>
      </c>
      <c r="K73" s="54">
        <v>-0.83445381998053259</v>
      </c>
      <c r="M73" s="55"/>
      <c r="N73" s="55"/>
      <c r="O73" s="55"/>
      <c r="P73" s="55"/>
      <c r="Q73" s="55"/>
      <c r="R73" s="55"/>
      <c r="S73" s="55"/>
      <c r="T73" s="55"/>
      <c r="U73" s="55"/>
      <c r="V73" s="55"/>
    </row>
    <row r="74" spans="2:22">
      <c r="B74" s="53" t="s">
        <v>166</v>
      </c>
      <c r="C74" s="54">
        <v>0.89028186771499074</v>
      </c>
      <c r="F74" s="53" t="s">
        <v>166</v>
      </c>
      <c r="G74" s="54">
        <v>0.71850763321640643</v>
      </c>
      <c r="J74" s="53" t="s">
        <v>166</v>
      </c>
      <c r="K74" s="54">
        <v>-0.83817572385169514</v>
      </c>
      <c r="M74" s="55"/>
      <c r="N74" s="55"/>
      <c r="O74" s="55"/>
      <c r="P74" s="55"/>
      <c r="Q74" s="55"/>
      <c r="R74" s="55"/>
      <c r="S74" s="55"/>
      <c r="T74" s="55"/>
      <c r="U74" s="55"/>
      <c r="V74" s="55"/>
    </row>
    <row r="75" spans="2:22">
      <c r="B75" s="53" t="s">
        <v>167</v>
      </c>
      <c r="C75" s="54">
        <v>0.87603589940976057</v>
      </c>
      <c r="F75" s="53" t="s">
        <v>167</v>
      </c>
      <c r="G75" s="54">
        <v>0.70515436391609876</v>
      </c>
      <c r="J75" s="53" t="s">
        <v>167</v>
      </c>
      <c r="K75" s="54">
        <v>-0.7902823607738011</v>
      </c>
      <c r="M75" s="55"/>
      <c r="N75" s="55"/>
      <c r="O75" s="55"/>
      <c r="P75" s="55"/>
      <c r="Q75" s="55"/>
      <c r="R75" s="55"/>
      <c r="S75" s="55"/>
      <c r="T75" s="55"/>
      <c r="U75" s="55"/>
      <c r="V75" s="55"/>
    </row>
    <row r="76" spans="2:22">
      <c r="B76" s="53" t="s">
        <v>168</v>
      </c>
      <c r="C76" s="54">
        <v>0.90123607986324872</v>
      </c>
      <c r="F76" s="53" t="s">
        <v>168</v>
      </c>
      <c r="G76" s="54">
        <v>0.67842875169613281</v>
      </c>
      <c r="J76" s="53" t="s">
        <v>168</v>
      </c>
      <c r="K76" s="54">
        <v>-0.76921119649805925</v>
      </c>
      <c r="M76" s="55"/>
      <c r="N76" s="55"/>
      <c r="O76" s="55"/>
      <c r="P76" s="55"/>
      <c r="Q76" s="55"/>
      <c r="R76" s="55"/>
      <c r="S76" s="55"/>
      <c r="T76" s="55"/>
      <c r="U76" s="55"/>
      <c r="V76" s="55"/>
    </row>
    <row r="77" spans="2:22">
      <c r="B77" s="53" t="s">
        <v>169</v>
      </c>
      <c r="C77" s="54">
        <v>0.92921596016197106</v>
      </c>
      <c r="F77" s="53" t="s">
        <v>169</v>
      </c>
      <c r="G77" s="54">
        <v>0.6852776347294145</v>
      </c>
      <c r="J77" s="53" t="s">
        <v>169</v>
      </c>
      <c r="K77" s="54">
        <v>-0.78236793225979739</v>
      </c>
      <c r="M77" s="55"/>
      <c r="N77" s="55"/>
      <c r="O77" s="55"/>
      <c r="P77" s="55"/>
      <c r="Q77" s="55"/>
      <c r="R77" s="55"/>
      <c r="S77" s="55"/>
      <c r="T77" s="55"/>
      <c r="U77" s="55"/>
      <c r="V77" s="55"/>
    </row>
    <row r="78" spans="2:22">
      <c r="B78" s="53" t="s">
        <v>170</v>
      </c>
      <c r="C78" s="54">
        <v>0.68094109434958783</v>
      </c>
      <c r="F78" s="53" t="s">
        <v>170</v>
      </c>
      <c r="G78" s="54">
        <v>0.706589058857925</v>
      </c>
      <c r="J78" s="53" t="s">
        <v>170</v>
      </c>
      <c r="K78" s="54">
        <v>-0.78846169800042876</v>
      </c>
      <c r="M78" s="55"/>
      <c r="N78" s="55"/>
      <c r="O78" s="55"/>
      <c r="P78" s="55"/>
      <c r="Q78" s="55"/>
      <c r="R78" s="55"/>
      <c r="S78" s="55"/>
      <c r="T78" s="55"/>
      <c r="U78" s="55"/>
      <c r="V78" s="55"/>
    </row>
    <row r="79" spans="2:22">
      <c r="B79" s="53" t="s">
        <v>171</v>
      </c>
      <c r="C79" s="54">
        <v>0.87095078576785567</v>
      </c>
      <c r="F79" s="53" t="s">
        <v>171</v>
      </c>
      <c r="G79" s="54">
        <v>0.69242736084456102</v>
      </c>
      <c r="J79" s="53" t="s">
        <v>171</v>
      </c>
      <c r="K79" s="54">
        <v>-0.77021113147140408</v>
      </c>
      <c r="M79" s="55"/>
      <c r="N79" s="55"/>
      <c r="O79" s="55"/>
      <c r="P79" s="55"/>
      <c r="Q79" s="55"/>
      <c r="R79" s="55"/>
      <c r="S79" s="55"/>
      <c r="T79" s="55"/>
      <c r="U79" s="55"/>
      <c r="V79" s="55"/>
    </row>
    <row r="80" spans="2:22">
      <c r="B80" s="53" t="s">
        <v>172</v>
      </c>
      <c r="C80" s="54">
        <v>0.85689583022079863</v>
      </c>
      <c r="F80" s="53" t="s">
        <v>172</v>
      </c>
      <c r="G80" s="54">
        <v>0.73214441863773916</v>
      </c>
      <c r="J80" s="53" t="s">
        <v>172</v>
      </c>
      <c r="K80" s="54">
        <v>-0.77761167630243233</v>
      </c>
      <c r="M80" s="55"/>
      <c r="N80" s="55"/>
      <c r="O80" s="55"/>
      <c r="P80" s="55"/>
      <c r="Q80" s="55"/>
      <c r="R80" s="55"/>
      <c r="S80" s="55"/>
      <c r="T80" s="55"/>
      <c r="U80" s="55"/>
      <c r="V80" s="55"/>
    </row>
    <row r="81" spans="2:22">
      <c r="B81" s="53" t="s">
        <v>173</v>
      </c>
      <c r="C81" s="54">
        <v>0.91611428169939102</v>
      </c>
      <c r="F81" s="53" t="s">
        <v>173</v>
      </c>
      <c r="G81" s="54">
        <v>0.75618844059282275</v>
      </c>
      <c r="J81" s="53" t="s">
        <v>173</v>
      </c>
      <c r="K81" s="54">
        <v>-0.81783970930302086</v>
      </c>
      <c r="M81" s="55"/>
      <c r="N81" s="55"/>
      <c r="O81" s="55"/>
      <c r="P81" s="55"/>
      <c r="Q81" s="55"/>
      <c r="R81" s="55"/>
      <c r="S81" s="55"/>
      <c r="T81" s="55"/>
      <c r="U81" s="55"/>
      <c r="V81" s="55"/>
    </row>
    <row r="82" spans="2:22">
      <c r="B82" s="53" t="s">
        <v>174</v>
      </c>
      <c r="C82" s="54">
        <v>0.87962369312901212</v>
      </c>
      <c r="F82" s="53" t="s">
        <v>174</v>
      </c>
      <c r="G82" s="54">
        <v>0.72327557633190986</v>
      </c>
      <c r="J82" s="53" t="s">
        <v>174</v>
      </c>
      <c r="K82" s="54">
        <v>-0.7976777781537624</v>
      </c>
      <c r="M82" s="55"/>
      <c r="N82" s="55"/>
      <c r="O82" s="55"/>
      <c r="P82" s="55"/>
      <c r="Q82" s="55"/>
      <c r="R82" s="55"/>
      <c r="S82" s="55"/>
      <c r="T82" s="55"/>
      <c r="U82" s="55"/>
      <c r="V82" s="55"/>
    </row>
    <row r="83" spans="2:22">
      <c r="B83" s="52" t="s">
        <v>151</v>
      </c>
      <c r="C83" s="54">
        <v>0.78129700504175759</v>
      </c>
      <c r="F83" s="52" t="s">
        <v>151</v>
      </c>
      <c r="G83" s="54">
        <v>-2.7572856212817139E-2</v>
      </c>
      <c r="J83" s="52" t="s">
        <v>151</v>
      </c>
      <c r="K83" s="54">
        <v>-0.12233644420385749</v>
      </c>
      <c r="M83" s="55"/>
      <c r="N83" s="55"/>
      <c r="O83" s="55"/>
      <c r="P83" s="55"/>
      <c r="Q83" s="55"/>
      <c r="R83" s="55"/>
      <c r="S83" s="55"/>
      <c r="T83" s="55"/>
      <c r="U83" s="55"/>
      <c r="V83" s="55"/>
    </row>
    <row r="84" spans="2:22">
      <c r="B84" s="52" t="s">
        <v>152</v>
      </c>
      <c r="C84" s="54">
        <v>0.897228772509995</v>
      </c>
      <c r="F84" s="52" t="s">
        <v>152</v>
      </c>
      <c r="G84" s="54">
        <v>0.77450075087221593</v>
      </c>
      <c r="J84" s="52" t="s">
        <v>152</v>
      </c>
      <c r="K84" s="54">
        <v>-0.84075344154313025</v>
      </c>
      <c r="M84" s="55"/>
      <c r="N84" s="55"/>
      <c r="O84" s="55"/>
      <c r="P84" s="55"/>
      <c r="Q84" s="55"/>
      <c r="R84" s="55"/>
      <c r="S84" s="55"/>
      <c r="T84" s="55"/>
      <c r="U84" s="55"/>
      <c r="V84" s="55"/>
    </row>
  </sheetData>
  <mergeCells count="6">
    <mergeCell ref="M62:V66"/>
    <mergeCell ref="A1:AA2"/>
    <mergeCell ref="B57:C58"/>
    <mergeCell ref="F57:G58"/>
    <mergeCell ref="J57:K58"/>
    <mergeCell ref="M57:V60"/>
  </mergeCells>
  <conditionalFormatting sqref="C60:C84">
    <cfRule type="colorScale" priority="3">
      <colorScale>
        <cfvo type="min"/>
        <cfvo type="max"/>
        <color rgb="FFB375F9"/>
        <color rgb="FF490595"/>
      </colorScale>
    </cfRule>
    <cfRule type="colorScale" priority="6">
      <colorScale>
        <cfvo type="min"/>
        <cfvo type="percentile" val="50"/>
        <cfvo type="max"/>
        <color rgb="FFF8696B"/>
        <color rgb="FFFFEB84"/>
        <color rgb="FF63BE7B"/>
      </colorScale>
    </cfRule>
  </conditionalFormatting>
  <conditionalFormatting sqref="G60:G84">
    <cfRule type="colorScale" priority="2">
      <colorScale>
        <cfvo type="min"/>
        <cfvo type="max"/>
        <color rgb="FFB375F9"/>
        <color rgb="FF490595"/>
      </colorScale>
    </cfRule>
    <cfRule type="colorScale" priority="5">
      <colorScale>
        <cfvo type="min"/>
        <cfvo type="percentile" val="50"/>
        <cfvo type="max"/>
        <color rgb="FFF8696B"/>
        <color rgb="FFFFEB84"/>
        <color rgb="FF63BE7B"/>
      </colorScale>
    </cfRule>
  </conditionalFormatting>
  <conditionalFormatting sqref="K60:K84">
    <cfRule type="colorScale" priority="1">
      <colorScale>
        <cfvo type="min"/>
        <cfvo type="max"/>
        <color rgb="FFB375F9"/>
        <color rgb="FF490595"/>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73"/>
  <sheetViews>
    <sheetView topLeftCell="A252" workbookViewId="0">
      <selection activeCell="E265" sqref="E265"/>
    </sheetView>
  </sheetViews>
  <sheetFormatPr defaultRowHeight="14"/>
  <cols>
    <col min="7" max="7" width="18.08203125" bestFit="1" customWidth="1"/>
    <col min="8" max="8" width="13.4140625" bestFit="1" customWidth="1"/>
    <col min="9" max="9" width="8" bestFit="1" customWidth="1"/>
    <col min="10" max="10" width="12.4140625" bestFit="1" customWidth="1"/>
    <col min="11" max="11" width="20.08203125" bestFit="1" customWidth="1"/>
    <col min="12" max="12" width="23.58203125" bestFit="1" customWidth="1"/>
    <col min="14" max="14" width="24" bestFit="1" customWidth="1"/>
    <col min="15" max="15" width="33.75" bestFit="1" customWidth="1"/>
    <col min="16" max="16" width="13.08203125" customWidth="1"/>
    <col min="17" max="17" width="19.75" bestFit="1" customWidth="1"/>
    <col min="18" max="18" width="27.33203125" bestFit="1" customWidth="1"/>
    <col min="19" max="19" width="27.33203125" customWidth="1"/>
    <col min="20" max="20" width="11.08203125" customWidth="1"/>
    <col min="21" max="21" width="10.9140625" bestFit="1" customWidth="1"/>
    <col min="22" max="22" width="21.25" bestFit="1" customWidth="1"/>
    <col min="23" max="23" width="21.33203125" bestFit="1" customWidth="1"/>
    <col min="24" max="24" width="9.9140625" bestFit="1" customWidth="1"/>
    <col min="25" max="25" width="15.6640625" bestFit="1" customWidth="1"/>
    <col min="26" max="26" width="14.25" bestFit="1" customWidth="1"/>
    <col min="27" max="27" width="28.4140625" bestFit="1" customWidth="1"/>
    <col min="28" max="28" width="11" customWidth="1"/>
    <col min="29" max="29" width="28.4140625" bestFit="1" customWidth="1"/>
    <col min="30" max="30" width="26.25" bestFit="1" customWidth="1"/>
    <col min="31" max="31" width="11.58203125" bestFit="1" customWidth="1"/>
    <col min="32" max="32" width="24.25" bestFit="1" customWidth="1"/>
    <col min="33" max="33" width="15.08203125" bestFit="1" customWidth="1"/>
    <col min="34" max="34" width="14.6640625" bestFit="1" customWidth="1"/>
  </cols>
  <sheetData>
    <row r="1" spans="1:36" s="3" customFormat="1">
      <c r="A1" s="3" t="s">
        <v>5</v>
      </c>
      <c r="B1" s="3" t="s">
        <v>0</v>
      </c>
      <c r="C1" s="3" t="s">
        <v>12</v>
      </c>
      <c r="D1" s="3" t="s">
        <v>61</v>
      </c>
      <c r="E1" s="3" t="s">
        <v>62</v>
      </c>
      <c r="F1" s="3" t="s">
        <v>63</v>
      </c>
      <c r="G1" s="3" t="s">
        <v>64</v>
      </c>
      <c r="H1" s="3" t="s">
        <v>65</v>
      </c>
      <c r="I1" s="3" t="s">
        <v>66</v>
      </c>
      <c r="J1" s="3" t="s">
        <v>67</v>
      </c>
      <c r="K1" s="3" t="s">
        <v>69</v>
      </c>
      <c r="L1" s="3" t="s">
        <v>68</v>
      </c>
      <c r="M1" s="3" t="s">
        <v>70</v>
      </c>
      <c r="N1" s="3" t="s">
        <v>72</v>
      </c>
      <c r="O1" s="3" t="s">
        <v>73</v>
      </c>
      <c r="P1" s="3" t="s">
        <v>96</v>
      </c>
      <c r="Q1" s="3" t="s">
        <v>78</v>
      </c>
      <c r="R1" s="3" t="s">
        <v>79</v>
      </c>
      <c r="S1" s="3" t="s">
        <v>116</v>
      </c>
      <c r="T1" s="3" t="s">
        <v>80</v>
      </c>
      <c r="U1" s="3" t="s">
        <v>81</v>
      </c>
      <c r="V1" s="3" t="s">
        <v>117</v>
      </c>
      <c r="W1" s="3" t="s">
        <v>82</v>
      </c>
      <c r="X1" s="3" t="s">
        <v>83</v>
      </c>
      <c r="Y1" s="3" t="s">
        <v>118</v>
      </c>
      <c r="Z1" s="3" t="s">
        <v>84</v>
      </c>
      <c r="AA1" s="3" t="s">
        <v>85</v>
      </c>
      <c r="AB1" s="3" t="s">
        <v>86</v>
      </c>
      <c r="AC1" s="3" t="s">
        <v>87</v>
      </c>
      <c r="AD1" s="3" t="s">
        <v>88</v>
      </c>
      <c r="AE1" s="3" t="s">
        <v>89</v>
      </c>
      <c r="AF1" s="3" t="s">
        <v>90</v>
      </c>
      <c r="AG1" s="3" t="s">
        <v>91</v>
      </c>
      <c r="AH1" s="3" t="s">
        <v>92</v>
      </c>
      <c r="AI1" s="3" t="s">
        <v>178</v>
      </c>
      <c r="AJ1" s="3" t="s">
        <v>180</v>
      </c>
    </row>
    <row r="2" spans="1:36">
      <c r="A2" t="s">
        <v>93</v>
      </c>
      <c r="B2">
        <v>2013</v>
      </c>
      <c r="C2" t="s">
        <v>11</v>
      </c>
      <c r="D2">
        <v>107.5</v>
      </c>
      <c r="E2">
        <v>106.3</v>
      </c>
      <c r="F2">
        <v>108.1</v>
      </c>
      <c r="G2">
        <v>104.9</v>
      </c>
      <c r="H2">
        <v>106.1</v>
      </c>
      <c r="I2">
        <v>103.9</v>
      </c>
      <c r="J2">
        <v>101.9</v>
      </c>
      <c r="K2">
        <v>106.1</v>
      </c>
      <c r="L2">
        <v>106.8</v>
      </c>
      <c r="M2">
        <v>103.1</v>
      </c>
      <c r="N2">
        <v>104.8</v>
      </c>
      <c r="O2">
        <v>106.7</v>
      </c>
      <c r="P2" s="1">
        <f>SUM(O2,M2,L2,K2,J2,I2,H2,G2,F2,E2,D2,Q2)</f>
        <v>1266.9000000000001</v>
      </c>
      <c r="Q2">
        <v>105.5</v>
      </c>
      <c r="R2">
        <v>105.1</v>
      </c>
      <c r="S2" s="1">
        <f>SUM(R2,N2,AD2,AF2)</f>
        <v>417.99999999999994</v>
      </c>
      <c r="T2">
        <v>106.5</v>
      </c>
      <c r="U2">
        <v>105.8</v>
      </c>
      <c r="V2" s="1">
        <f>SUM(U2,T2,W2)</f>
        <v>318.70000000000005</v>
      </c>
      <c r="W2">
        <v>106.4</v>
      </c>
      <c r="X2">
        <v>100.3</v>
      </c>
      <c r="Y2" s="1">
        <f>SUM(X2,AA2)</f>
        <v>205.1</v>
      </c>
      <c r="Z2">
        <v>105.5</v>
      </c>
      <c r="AA2">
        <v>104.8</v>
      </c>
      <c r="AB2">
        <v>104</v>
      </c>
      <c r="AC2">
        <v>103.3</v>
      </c>
      <c r="AD2">
        <v>103.4</v>
      </c>
      <c r="AE2">
        <v>103.8</v>
      </c>
      <c r="AF2">
        <v>104.7</v>
      </c>
      <c r="AG2">
        <v>104</v>
      </c>
      <c r="AH2">
        <v>105.1</v>
      </c>
      <c r="AI2">
        <f>SUM('Cleaned Data'!AC2,'Cleaned Data'!AE2,'Cleaned Data'!Z2,'Cleaned Data'!AA2)</f>
        <v>417.40000000000003</v>
      </c>
      <c r="AJ2" s="1">
        <f>AVERAGE(AE2,AC2,AA2,Z2)</f>
        <v>104.35</v>
      </c>
    </row>
    <row r="3" spans="1:36">
      <c r="A3" t="s">
        <v>94</v>
      </c>
      <c r="B3">
        <v>2013</v>
      </c>
      <c r="C3" t="s">
        <v>11</v>
      </c>
      <c r="D3">
        <v>110.5</v>
      </c>
      <c r="E3">
        <v>109.1</v>
      </c>
      <c r="F3">
        <v>113</v>
      </c>
      <c r="G3">
        <v>103.6</v>
      </c>
      <c r="H3">
        <v>103.4</v>
      </c>
      <c r="I3">
        <v>102.3</v>
      </c>
      <c r="J3">
        <v>102.9</v>
      </c>
      <c r="K3">
        <v>105.8</v>
      </c>
      <c r="L3">
        <v>105.1</v>
      </c>
      <c r="M3">
        <v>101.8</v>
      </c>
      <c r="N3">
        <v>105.1</v>
      </c>
      <c r="O3">
        <v>107.9</v>
      </c>
      <c r="P3" s="1">
        <f t="shared" ref="P3:P66" si="0">SUM(O3,M3,L3,K3,J3,I3,H3,G3,F3,E3,D3,Q3)</f>
        <v>1271.3</v>
      </c>
      <c r="Q3">
        <v>105.9</v>
      </c>
      <c r="R3">
        <v>105.2</v>
      </c>
      <c r="S3" s="1">
        <f t="shared" ref="S3:S66" si="1">SUM(R3,N3,AD3,AF3)</f>
        <v>417.50000000000006</v>
      </c>
      <c r="T3">
        <v>105.9</v>
      </c>
      <c r="U3">
        <v>105</v>
      </c>
      <c r="V3" s="1">
        <f t="shared" ref="V3:V66" si="2">SUM(U3,T3,W3)</f>
        <v>316.7</v>
      </c>
      <c r="W3">
        <v>105.8</v>
      </c>
      <c r="X3">
        <v>100.3</v>
      </c>
      <c r="Y3" s="1">
        <f t="shared" ref="Y3:Y66" si="3">SUM(X3,AA3)</f>
        <v>205.1</v>
      </c>
      <c r="Z3">
        <v>105.4</v>
      </c>
      <c r="AA3">
        <v>104.8</v>
      </c>
      <c r="AB3">
        <v>104.1</v>
      </c>
      <c r="AC3">
        <v>103.2</v>
      </c>
      <c r="AD3">
        <v>102.9</v>
      </c>
      <c r="AE3">
        <v>103.5</v>
      </c>
      <c r="AF3">
        <v>104.3</v>
      </c>
      <c r="AG3">
        <v>103.7</v>
      </c>
      <c r="AH3">
        <v>104</v>
      </c>
      <c r="AI3">
        <f>SUM('Cleaned Data'!AC3,'Cleaned Data'!AE3,'Cleaned Data'!Z3,'Cleaned Data'!AA3)</f>
        <v>416.90000000000003</v>
      </c>
      <c r="AJ3" s="1">
        <f t="shared" ref="AJ3:AJ66" si="4">AVERAGE(AE3,AC3,AA3,Z3)</f>
        <v>104.22499999999999</v>
      </c>
    </row>
    <row r="4" spans="1:36">
      <c r="A4" t="s">
        <v>6</v>
      </c>
      <c r="B4">
        <v>2013</v>
      </c>
      <c r="C4" t="s">
        <v>11</v>
      </c>
      <c r="D4">
        <v>108.4</v>
      </c>
      <c r="E4">
        <v>107.3</v>
      </c>
      <c r="F4">
        <v>110</v>
      </c>
      <c r="G4">
        <v>104.4</v>
      </c>
      <c r="H4">
        <v>105.1</v>
      </c>
      <c r="I4">
        <v>103.2</v>
      </c>
      <c r="J4">
        <v>102.2</v>
      </c>
      <c r="K4">
        <v>106</v>
      </c>
      <c r="L4">
        <v>106.2</v>
      </c>
      <c r="M4">
        <v>102.7</v>
      </c>
      <c r="N4">
        <v>104.9</v>
      </c>
      <c r="O4">
        <v>107.3</v>
      </c>
      <c r="P4" s="1">
        <f t="shared" si="0"/>
        <v>1268.4000000000001</v>
      </c>
      <c r="Q4">
        <v>105.6</v>
      </c>
      <c r="R4">
        <v>105.1</v>
      </c>
      <c r="S4" s="1">
        <f t="shared" si="1"/>
        <v>417.6</v>
      </c>
      <c r="T4">
        <v>106.3</v>
      </c>
      <c r="U4">
        <v>105.5</v>
      </c>
      <c r="V4" s="1">
        <f t="shared" si="2"/>
        <v>318</v>
      </c>
      <c r="W4">
        <v>106.2</v>
      </c>
      <c r="X4">
        <v>100.3</v>
      </c>
      <c r="Y4" s="1">
        <f t="shared" si="3"/>
        <v>205.1</v>
      </c>
      <c r="Z4">
        <v>105.5</v>
      </c>
      <c r="AA4">
        <v>104.8</v>
      </c>
      <c r="AB4">
        <v>104</v>
      </c>
      <c r="AC4">
        <v>103.2</v>
      </c>
      <c r="AD4">
        <v>103.1</v>
      </c>
      <c r="AE4">
        <v>103.6</v>
      </c>
      <c r="AF4">
        <v>104.5</v>
      </c>
      <c r="AG4">
        <v>103.9</v>
      </c>
      <c r="AH4">
        <v>104.6</v>
      </c>
      <c r="AI4">
        <f>SUM('Cleaned Data'!AC4,'Cleaned Data'!AE4,'Cleaned Data'!Z4,'Cleaned Data'!AA4)</f>
        <v>417.1</v>
      </c>
      <c r="AJ4" s="1">
        <f t="shared" si="4"/>
        <v>104.27500000000001</v>
      </c>
    </row>
    <row r="5" spans="1:36">
      <c r="A5" t="s">
        <v>93</v>
      </c>
      <c r="B5">
        <v>2013</v>
      </c>
      <c r="C5" t="s">
        <v>14</v>
      </c>
      <c r="D5">
        <v>109.2</v>
      </c>
      <c r="E5">
        <v>108.7</v>
      </c>
      <c r="F5">
        <v>110.2</v>
      </c>
      <c r="G5">
        <v>105.4</v>
      </c>
      <c r="H5">
        <v>106.7</v>
      </c>
      <c r="I5">
        <v>104</v>
      </c>
      <c r="J5">
        <v>102.4</v>
      </c>
      <c r="K5">
        <v>105.9</v>
      </c>
      <c r="L5">
        <v>105.7</v>
      </c>
      <c r="M5">
        <v>103.1</v>
      </c>
      <c r="N5">
        <v>105.1</v>
      </c>
      <c r="O5">
        <v>107.7</v>
      </c>
      <c r="P5" s="1">
        <f t="shared" si="0"/>
        <v>1275.3</v>
      </c>
      <c r="Q5">
        <v>106.3</v>
      </c>
      <c r="R5">
        <v>105.6</v>
      </c>
      <c r="S5" s="1">
        <f t="shared" si="1"/>
        <v>419.29999999999995</v>
      </c>
      <c r="T5">
        <v>107.1</v>
      </c>
      <c r="U5">
        <v>106.3</v>
      </c>
      <c r="V5" s="1">
        <f t="shared" si="2"/>
        <v>320.39999999999998</v>
      </c>
      <c r="W5">
        <v>107</v>
      </c>
      <c r="X5">
        <v>100.4</v>
      </c>
      <c r="Y5" s="1">
        <f t="shared" si="3"/>
        <v>205.60000000000002</v>
      </c>
      <c r="Z5">
        <v>106.2</v>
      </c>
      <c r="AA5">
        <v>105.2</v>
      </c>
      <c r="AB5">
        <v>104.4</v>
      </c>
      <c r="AC5">
        <v>103.9</v>
      </c>
      <c r="AD5">
        <v>104</v>
      </c>
      <c r="AE5">
        <v>104.1</v>
      </c>
      <c r="AF5">
        <v>104.6</v>
      </c>
      <c r="AG5">
        <v>104.4</v>
      </c>
      <c r="AH5">
        <v>105.8</v>
      </c>
      <c r="AI5">
        <f>SUM('Cleaned Data'!AC5,'Cleaned Data'!AE5,'Cleaned Data'!Z5,'Cleaned Data'!AA5)</f>
        <v>419.4</v>
      </c>
      <c r="AJ5" s="1">
        <f t="shared" si="4"/>
        <v>104.85</v>
      </c>
    </row>
    <row r="6" spans="1:36">
      <c r="A6" t="s">
        <v>94</v>
      </c>
      <c r="B6">
        <v>2013</v>
      </c>
      <c r="C6" t="s">
        <v>14</v>
      </c>
      <c r="D6">
        <v>112.9</v>
      </c>
      <c r="E6">
        <v>112.9</v>
      </c>
      <c r="F6">
        <v>116.9</v>
      </c>
      <c r="G6">
        <v>104</v>
      </c>
      <c r="H6">
        <v>103.5</v>
      </c>
      <c r="I6">
        <v>103.1</v>
      </c>
      <c r="J6">
        <v>104.9</v>
      </c>
      <c r="K6">
        <v>104.1</v>
      </c>
      <c r="L6">
        <v>103.8</v>
      </c>
      <c r="M6">
        <v>102.3</v>
      </c>
      <c r="N6">
        <v>106</v>
      </c>
      <c r="O6">
        <v>109</v>
      </c>
      <c r="P6" s="1">
        <f t="shared" si="0"/>
        <v>1284.6000000000001</v>
      </c>
      <c r="Q6">
        <v>107.2</v>
      </c>
      <c r="R6">
        <v>106</v>
      </c>
      <c r="S6" s="1">
        <f t="shared" si="1"/>
        <v>419.6</v>
      </c>
      <c r="T6">
        <v>106.6</v>
      </c>
      <c r="U6">
        <v>105.5</v>
      </c>
      <c r="V6" s="1">
        <f t="shared" si="2"/>
        <v>318.5</v>
      </c>
      <c r="W6">
        <v>106.4</v>
      </c>
      <c r="X6">
        <v>100.4</v>
      </c>
      <c r="Y6" s="1">
        <f t="shared" si="3"/>
        <v>205.60000000000002</v>
      </c>
      <c r="Z6">
        <v>105.7</v>
      </c>
      <c r="AA6">
        <v>105.2</v>
      </c>
      <c r="AB6">
        <v>104.7</v>
      </c>
      <c r="AC6">
        <v>104.4</v>
      </c>
      <c r="AD6">
        <v>103.3</v>
      </c>
      <c r="AE6">
        <v>103.7</v>
      </c>
      <c r="AF6">
        <v>104.3</v>
      </c>
      <c r="AG6">
        <v>104.3</v>
      </c>
      <c r="AH6">
        <v>104.7</v>
      </c>
      <c r="AI6">
        <f>SUM('Cleaned Data'!AC6,'Cleaned Data'!AE6,'Cleaned Data'!Z6,'Cleaned Data'!AA6)</f>
        <v>419</v>
      </c>
      <c r="AJ6" s="1">
        <f t="shared" si="4"/>
        <v>104.75</v>
      </c>
    </row>
    <row r="7" spans="1:36">
      <c r="A7" t="s">
        <v>6</v>
      </c>
      <c r="B7">
        <v>2013</v>
      </c>
      <c r="C7" t="s">
        <v>14</v>
      </c>
      <c r="D7">
        <v>110.4</v>
      </c>
      <c r="E7">
        <v>110.2</v>
      </c>
      <c r="F7">
        <v>112.8</v>
      </c>
      <c r="G7">
        <v>104.9</v>
      </c>
      <c r="H7">
        <v>105.5</v>
      </c>
      <c r="I7">
        <v>103.6</v>
      </c>
      <c r="J7">
        <v>103.2</v>
      </c>
      <c r="K7">
        <v>105.3</v>
      </c>
      <c r="L7">
        <v>105.1</v>
      </c>
      <c r="M7">
        <v>102.8</v>
      </c>
      <c r="N7">
        <v>105.5</v>
      </c>
      <c r="O7">
        <v>108.3</v>
      </c>
      <c r="P7" s="1">
        <f t="shared" si="0"/>
        <v>1278.7</v>
      </c>
      <c r="Q7">
        <v>106.6</v>
      </c>
      <c r="R7">
        <v>105.7</v>
      </c>
      <c r="S7" s="1">
        <f t="shared" si="1"/>
        <v>419.29999999999995</v>
      </c>
      <c r="T7">
        <v>106.9</v>
      </c>
      <c r="U7">
        <v>106</v>
      </c>
      <c r="V7" s="1">
        <f t="shared" si="2"/>
        <v>319.7</v>
      </c>
      <c r="W7">
        <v>106.8</v>
      </c>
      <c r="X7">
        <v>100.4</v>
      </c>
      <c r="Y7" s="1">
        <f t="shared" si="3"/>
        <v>205.60000000000002</v>
      </c>
      <c r="Z7">
        <v>106</v>
      </c>
      <c r="AA7">
        <v>105.2</v>
      </c>
      <c r="AB7">
        <v>104.5</v>
      </c>
      <c r="AC7">
        <v>104.2</v>
      </c>
      <c r="AD7">
        <v>103.6</v>
      </c>
      <c r="AE7">
        <v>103.9</v>
      </c>
      <c r="AF7">
        <v>104.5</v>
      </c>
      <c r="AG7">
        <v>104.4</v>
      </c>
      <c r="AH7">
        <v>105.3</v>
      </c>
      <c r="AI7">
        <f>SUM('Cleaned Data'!AC7,'Cleaned Data'!AE7,'Cleaned Data'!Z7,'Cleaned Data'!AA7)</f>
        <v>419.3</v>
      </c>
      <c r="AJ7" s="1">
        <f t="shared" si="4"/>
        <v>104.825</v>
      </c>
    </row>
    <row r="8" spans="1:36">
      <c r="A8" t="s">
        <v>93</v>
      </c>
      <c r="B8">
        <v>2013</v>
      </c>
      <c r="C8" t="s">
        <v>17</v>
      </c>
      <c r="D8">
        <v>110.2</v>
      </c>
      <c r="E8">
        <v>108.8</v>
      </c>
      <c r="F8">
        <v>109.9</v>
      </c>
      <c r="G8">
        <v>105.6</v>
      </c>
      <c r="H8">
        <v>106.2</v>
      </c>
      <c r="I8">
        <v>105.7</v>
      </c>
      <c r="J8">
        <v>101.4</v>
      </c>
      <c r="K8">
        <v>105.7</v>
      </c>
      <c r="L8">
        <v>105</v>
      </c>
      <c r="M8">
        <v>103.3</v>
      </c>
      <c r="N8">
        <v>105.6</v>
      </c>
      <c r="O8">
        <v>108.2</v>
      </c>
      <c r="P8" s="1">
        <f t="shared" si="0"/>
        <v>1276.6000000000001</v>
      </c>
      <c r="Q8">
        <v>106.6</v>
      </c>
      <c r="R8">
        <v>106.5</v>
      </c>
      <c r="S8" s="1">
        <f t="shared" si="1"/>
        <v>420.40000000000003</v>
      </c>
      <c r="T8">
        <v>107.6</v>
      </c>
      <c r="U8">
        <v>106.8</v>
      </c>
      <c r="V8" s="1">
        <f t="shared" si="2"/>
        <v>321.89999999999998</v>
      </c>
      <c r="W8">
        <v>107.5</v>
      </c>
      <c r="X8">
        <v>100.4</v>
      </c>
      <c r="Y8" s="1">
        <f t="shared" si="3"/>
        <v>206</v>
      </c>
      <c r="Z8">
        <v>106.1</v>
      </c>
      <c r="AA8">
        <v>105.6</v>
      </c>
      <c r="AB8">
        <v>104.7</v>
      </c>
      <c r="AC8">
        <v>104.6</v>
      </c>
      <c r="AD8">
        <v>104</v>
      </c>
      <c r="AE8">
        <v>104.3</v>
      </c>
      <c r="AF8">
        <v>104.3</v>
      </c>
      <c r="AG8">
        <v>104.6</v>
      </c>
      <c r="AH8">
        <v>106</v>
      </c>
      <c r="AI8">
        <f>SUM('Cleaned Data'!AC8,'Cleaned Data'!AE8,'Cleaned Data'!Z8,'Cleaned Data'!AA8)</f>
        <v>420.6</v>
      </c>
      <c r="AJ8" s="1">
        <f t="shared" si="4"/>
        <v>105.15</v>
      </c>
    </row>
    <row r="9" spans="1:36">
      <c r="A9" t="s">
        <v>94</v>
      </c>
      <c r="B9">
        <v>2013</v>
      </c>
      <c r="C9" t="s">
        <v>17</v>
      </c>
      <c r="D9">
        <v>113.9</v>
      </c>
      <c r="E9">
        <v>111.4</v>
      </c>
      <c r="F9">
        <v>113.2</v>
      </c>
      <c r="G9">
        <v>104.3</v>
      </c>
      <c r="H9">
        <v>102.7</v>
      </c>
      <c r="I9">
        <v>104.9</v>
      </c>
      <c r="J9">
        <v>103.8</v>
      </c>
      <c r="K9">
        <v>103.5</v>
      </c>
      <c r="L9">
        <v>102.6</v>
      </c>
      <c r="M9">
        <v>102.4</v>
      </c>
      <c r="N9">
        <v>107</v>
      </c>
      <c r="O9">
        <v>109.8</v>
      </c>
      <c r="P9" s="1">
        <f t="shared" si="0"/>
        <v>1279.8</v>
      </c>
      <c r="Q9">
        <v>107.3</v>
      </c>
      <c r="R9">
        <v>106.8</v>
      </c>
      <c r="S9" s="1">
        <f t="shared" si="1"/>
        <v>421.5</v>
      </c>
      <c r="T9">
        <v>107.2</v>
      </c>
      <c r="U9">
        <v>106</v>
      </c>
      <c r="V9" s="1">
        <f t="shared" si="2"/>
        <v>320.2</v>
      </c>
      <c r="W9">
        <v>107</v>
      </c>
      <c r="X9">
        <v>100.4</v>
      </c>
      <c r="Y9" s="1">
        <f t="shared" si="3"/>
        <v>206.10000000000002</v>
      </c>
      <c r="Z9">
        <v>106</v>
      </c>
      <c r="AA9">
        <v>105.7</v>
      </c>
      <c r="AB9">
        <v>105.2</v>
      </c>
      <c r="AC9">
        <v>105.5</v>
      </c>
      <c r="AD9">
        <v>103.5</v>
      </c>
      <c r="AE9">
        <v>103.8</v>
      </c>
      <c r="AF9">
        <v>104.2</v>
      </c>
      <c r="AG9">
        <v>104.9</v>
      </c>
      <c r="AH9">
        <v>105</v>
      </c>
      <c r="AI9">
        <f>SUM('Cleaned Data'!AC9,'Cleaned Data'!AE9,'Cleaned Data'!Z9,'Cleaned Data'!AA9)</f>
        <v>421</v>
      </c>
      <c r="AJ9" s="1">
        <f t="shared" si="4"/>
        <v>105.25</v>
      </c>
    </row>
    <row r="10" spans="1:36">
      <c r="A10" t="s">
        <v>6</v>
      </c>
      <c r="B10">
        <v>2013</v>
      </c>
      <c r="C10" t="s">
        <v>17</v>
      </c>
      <c r="D10">
        <v>111.4</v>
      </c>
      <c r="E10">
        <v>109.7</v>
      </c>
      <c r="F10">
        <v>111.2</v>
      </c>
      <c r="G10">
        <v>105.1</v>
      </c>
      <c r="H10">
        <v>104.9</v>
      </c>
      <c r="I10">
        <v>105.3</v>
      </c>
      <c r="J10">
        <v>102.2</v>
      </c>
      <c r="K10">
        <v>105</v>
      </c>
      <c r="L10">
        <v>104.2</v>
      </c>
      <c r="M10">
        <v>103</v>
      </c>
      <c r="N10">
        <v>106.2</v>
      </c>
      <c r="O10">
        <v>108.9</v>
      </c>
      <c r="P10" s="1">
        <f t="shared" si="0"/>
        <v>1277.8000000000002</v>
      </c>
      <c r="Q10">
        <v>106.9</v>
      </c>
      <c r="R10">
        <v>106.6</v>
      </c>
      <c r="S10" s="1">
        <f t="shared" si="1"/>
        <v>420.8</v>
      </c>
      <c r="T10">
        <v>107.4</v>
      </c>
      <c r="U10">
        <v>106.5</v>
      </c>
      <c r="V10" s="1">
        <f t="shared" si="2"/>
        <v>321.2</v>
      </c>
      <c r="W10">
        <v>107.3</v>
      </c>
      <c r="X10">
        <v>100.4</v>
      </c>
      <c r="Y10" s="1">
        <f t="shared" si="3"/>
        <v>206</v>
      </c>
      <c r="Z10">
        <v>106.1</v>
      </c>
      <c r="AA10">
        <v>105.6</v>
      </c>
      <c r="AB10">
        <v>104.9</v>
      </c>
      <c r="AC10">
        <v>105.1</v>
      </c>
      <c r="AD10">
        <v>103.7</v>
      </c>
      <c r="AE10">
        <v>104</v>
      </c>
      <c r="AF10">
        <v>104.3</v>
      </c>
      <c r="AG10">
        <v>104.7</v>
      </c>
      <c r="AH10">
        <v>105.5</v>
      </c>
      <c r="AI10">
        <f>SUM('Cleaned Data'!AC10,'Cleaned Data'!AE10,'Cleaned Data'!Z10,'Cleaned Data'!AA10)</f>
        <v>420.79999999999995</v>
      </c>
      <c r="AJ10" s="1">
        <f t="shared" si="4"/>
        <v>105.19999999999999</v>
      </c>
    </row>
    <row r="11" spans="1:36">
      <c r="A11" t="s">
        <v>93</v>
      </c>
      <c r="B11">
        <v>2013</v>
      </c>
      <c r="C11" t="s">
        <v>19</v>
      </c>
      <c r="D11">
        <v>110.2</v>
      </c>
      <c r="E11">
        <v>109.5</v>
      </c>
      <c r="F11">
        <v>106.9</v>
      </c>
      <c r="G11">
        <v>106.3</v>
      </c>
      <c r="H11">
        <v>105.7</v>
      </c>
      <c r="I11">
        <v>108.3</v>
      </c>
      <c r="J11">
        <v>103.4</v>
      </c>
      <c r="K11">
        <v>105.7</v>
      </c>
      <c r="L11">
        <v>104.2</v>
      </c>
      <c r="M11">
        <v>103.2</v>
      </c>
      <c r="N11">
        <v>106.5</v>
      </c>
      <c r="O11">
        <v>108.8</v>
      </c>
      <c r="P11" s="1">
        <f t="shared" si="0"/>
        <v>1279.3</v>
      </c>
      <c r="Q11">
        <v>107.1</v>
      </c>
      <c r="R11">
        <v>107.1</v>
      </c>
      <c r="S11" s="1">
        <f t="shared" si="1"/>
        <v>420.8</v>
      </c>
      <c r="T11">
        <v>108.1</v>
      </c>
      <c r="U11">
        <v>107.4</v>
      </c>
      <c r="V11" s="1">
        <f t="shared" si="2"/>
        <v>323.5</v>
      </c>
      <c r="W11">
        <v>108</v>
      </c>
      <c r="X11">
        <v>100.5</v>
      </c>
      <c r="Y11" s="1">
        <f t="shared" si="3"/>
        <v>206.6</v>
      </c>
      <c r="Z11">
        <v>106.5</v>
      </c>
      <c r="AA11">
        <v>106.1</v>
      </c>
      <c r="AB11">
        <v>105.1</v>
      </c>
      <c r="AC11">
        <v>104.4</v>
      </c>
      <c r="AD11">
        <v>104.5</v>
      </c>
      <c r="AE11">
        <v>104.8</v>
      </c>
      <c r="AF11">
        <v>102.7</v>
      </c>
      <c r="AG11">
        <v>104.6</v>
      </c>
      <c r="AH11">
        <v>106.4</v>
      </c>
      <c r="AI11">
        <f>SUM('Cleaned Data'!AC11,'Cleaned Data'!AE11,'Cleaned Data'!Z11,'Cleaned Data'!AA11)</f>
        <v>421.79999999999995</v>
      </c>
      <c r="AJ11" s="1">
        <f t="shared" si="4"/>
        <v>105.44999999999999</v>
      </c>
    </row>
    <row r="12" spans="1:36">
      <c r="A12" t="s">
        <v>94</v>
      </c>
      <c r="B12">
        <v>2013</v>
      </c>
      <c r="C12" t="s">
        <v>19</v>
      </c>
      <c r="D12">
        <v>114.6</v>
      </c>
      <c r="E12">
        <v>113.4</v>
      </c>
      <c r="F12">
        <v>106</v>
      </c>
      <c r="G12">
        <v>104.7</v>
      </c>
      <c r="H12">
        <v>102.1</v>
      </c>
      <c r="I12">
        <v>109.5</v>
      </c>
      <c r="J12">
        <v>109.7</v>
      </c>
      <c r="K12">
        <v>104.6</v>
      </c>
      <c r="L12">
        <v>102</v>
      </c>
      <c r="M12">
        <v>103.5</v>
      </c>
      <c r="N12">
        <v>108.2</v>
      </c>
      <c r="O12">
        <v>110.6</v>
      </c>
      <c r="P12" s="1">
        <f t="shared" si="0"/>
        <v>1289.5</v>
      </c>
      <c r="Q12">
        <v>108.8</v>
      </c>
      <c r="R12">
        <v>108.5</v>
      </c>
      <c r="S12" s="1">
        <f t="shared" si="1"/>
        <v>423.9</v>
      </c>
      <c r="T12">
        <v>107.9</v>
      </c>
      <c r="U12">
        <v>106.4</v>
      </c>
      <c r="V12" s="1">
        <f t="shared" si="2"/>
        <v>322</v>
      </c>
      <c r="W12">
        <v>107.7</v>
      </c>
      <c r="X12">
        <v>100.5</v>
      </c>
      <c r="Y12" s="1">
        <f t="shared" si="3"/>
        <v>207</v>
      </c>
      <c r="Z12">
        <v>106.4</v>
      </c>
      <c r="AA12">
        <v>106.5</v>
      </c>
      <c r="AB12">
        <v>105.7</v>
      </c>
      <c r="AC12">
        <v>105</v>
      </c>
      <c r="AD12">
        <v>104</v>
      </c>
      <c r="AE12">
        <v>105.2</v>
      </c>
      <c r="AF12">
        <v>103.2</v>
      </c>
      <c r="AG12">
        <v>105.1</v>
      </c>
      <c r="AH12">
        <v>105.7</v>
      </c>
      <c r="AI12">
        <f>SUM('Cleaned Data'!AC12,'Cleaned Data'!AE12,'Cleaned Data'!Z12,'Cleaned Data'!AA12)</f>
        <v>423.1</v>
      </c>
      <c r="AJ12" s="1">
        <f t="shared" si="4"/>
        <v>105.77500000000001</v>
      </c>
    </row>
    <row r="13" spans="1:36">
      <c r="A13" t="s">
        <v>6</v>
      </c>
      <c r="B13">
        <v>2013</v>
      </c>
      <c r="C13" t="s">
        <v>19</v>
      </c>
      <c r="D13">
        <v>111.6</v>
      </c>
      <c r="E13">
        <v>110.9</v>
      </c>
      <c r="F13">
        <v>106.6</v>
      </c>
      <c r="G13">
        <v>105.7</v>
      </c>
      <c r="H13">
        <v>104.4</v>
      </c>
      <c r="I13">
        <v>108.9</v>
      </c>
      <c r="J13">
        <v>105.5</v>
      </c>
      <c r="K13">
        <v>105.3</v>
      </c>
      <c r="L13">
        <v>103.5</v>
      </c>
      <c r="M13">
        <v>103.3</v>
      </c>
      <c r="N13">
        <v>107.2</v>
      </c>
      <c r="O13">
        <v>109.6</v>
      </c>
      <c r="P13" s="1">
        <f t="shared" si="0"/>
        <v>1283</v>
      </c>
      <c r="Q13">
        <v>107.7</v>
      </c>
      <c r="R13">
        <v>107.5</v>
      </c>
      <c r="S13" s="1">
        <f t="shared" si="1"/>
        <v>421.79999999999995</v>
      </c>
      <c r="T13">
        <v>108</v>
      </c>
      <c r="U13">
        <v>107</v>
      </c>
      <c r="V13" s="1">
        <f t="shared" si="2"/>
        <v>322.89999999999998</v>
      </c>
      <c r="W13">
        <v>107.9</v>
      </c>
      <c r="X13">
        <v>100.5</v>
      </c>
      <c r="Y13" s="1">
        <f t="shared" si="3"/>
        <v>206.8</v>
      </c>
      <c r="Z13">
        <v>106.5</v>
      </c>
      <c r="AA13">
        <v>106.3</v>
      </c>
      <c r="AB13">
        <v>105.3</v>
      </c>
      <c r="AC13">
        <v>104.7</v>
      </c>
      <c r="AD13">
        <v>104.2</v>
      </c>
      <c r="AE13">
        <v>105</v>
      </c>
      <c r="AF13">
        <v>102.9</v>
      </c>
      <c r="AG13">
        <v>104.8</v>
      </c>
      <c r="AH13">
        <v>106.1</v>
      </c>
      <c r="AI13">
        <f>SUM('Cleaned Data'!AC13,'Cleaned Data'!AE13,'Cleaned Data'!Z13,'Cleaned Data'!AA13)</f>
        <v>422.5</v>
      </c>
      <c r="AJ13" s="1">
        <f t="shared" si="4"/>
        <v>105.625</v>
      </c>
    </row>
    <row r="14" spans="1:36">
      <c r="A14" t="s">
        <v>93</v>
      </c>
      <c r="B14">
        <v>2013</v>
      </c>
      <c r="C14" t="s">
        <v>21</v>
      </c>
      <c r="D14">
        <v>110.9</v>
      </c>
      <c r="E14">
        <v>109.8</v>
      </c>
      <c r="F14">
        <v>105.9</v>
      </c>
      <c r="G14">
        <v>107.5</v>
      </c>
      <c r="H14">
        <v>105.3</v>
      </c>
      <c r="I14">
        <v>108.1</v>
      </c>
      <c r="J14">
        <v>107.3</v>
      </c>
      <c r="K14">
        <v>106.1</v>
      </c>
      <c r="L14">
        <v>103.7</v>
      </c>
      <c r="M14">
        <v>104</v>
      </c>
      <c r="N14">
        <v>107.4</v>
      </c>
      <c r="O14">
        <v>109.9</v>
      </c>
      <c r="P14" s="1">
        <f t="shared" si="0"/>
        <v>1286.5999999999999</v>
      </c>
      <c r="Q14">
        <v>108.1</v>
      </c>
      <c r="R14">
        <v>108.1</v>
      </c>
      <c r="S14" s="1">
        <f t="shared" si="1"/>
        <v>422.6</v>
      </c>
      <c r="T14">
        <v>108.8</v>
      </c>
      <c r="U14">
        <v>107.9</v>
      </c>
      <c r="V14" s="1">
        <f t="shared" si="2"/>
        <v>325.29999999999995</v>
      </c>
      <c r="W14">
        <v>108.6</v>
      </c>
      <c r="X14">
        <v>100.5</v>
      </c>
      <c r="Y14" s="1">
        <f t="shared" si="3"/>
        <v>207.3</v>
      </c>
      <c r="Z14">
        <v>107.5</v>
      </c>
      <c r="AA14">
        <v>106.8</v>
      </c>
      <c r="AB14">
        <v>105.7</v>
      </c>
      <c r="AC14">
        <v>104.1</v>
      </c>
      <c r="AD14">
        <v>105</v>
      </c>
      <c r="AE14">
        <v>105.5</v>
      </c>
      <c r="AF14">
        <v>102.1</v>
      </c>
      <c r="AG14">
        <v>104.8</v>
      </c>
      <c r="AH14">
        <v>107.2</v>
      </c>
      <c r="AI14">
        <f>SUM('Cleaned Data'!AC14,'Cleaned Data'!AE14,'Cleaned Data'!Z14,'Cleaned Data'!AA14)</f>
        <v>423.90000000000003</v>
      </c>
      <c r="AJ14" s="1">
        <f t="shared" si="4"/>
        <v>105.97499999999999</v>
      </c>
    </row>
    <row r="15" spans="1:36">
      <c r="A15" t="s">
        <v>94</v>
      </c>
      <c r="B15">
        <v>2013</v>
      </c>
      <c r="C15" t="s">
        <v>21</v>
      </c>
      <c r="D15">
        <v>115.4</v>
      </c>
      <c r="E15">
        <v>114.2</v>
      </c>
      <c r="F15">
        <v>102.7</v>
      </c>
      <c r="G15">
        <v>105.5</v>
      </c>
      <c r="H15">
        <v>101.5</v>
      </c>
      <c r="I15">
        <v>110.6</v>
      </c>
      <c r="J15">
        <v>123.7</v>
      </c>
      <c r="K15">
        <v>105.2</v>
      </c>
      <c r="L15">
        <v>101.9</v>
      </c>
      <c r="M15">
        <v>105</v>
      </c>
      <c r="N15">
        <v>109.1</v>
      </c>
      <c r="O15">
        <v>111.3</v>
      </c>
      <c r="P15" s="1">
        <f t="shared" si="0"/>
        <v>1308.1000000000001</v>
      </c>
      <c r="Q15">
        <v>111.1</v>
      </c>
      <c r="R15">
        <v>109.8</v>
      </c>
      <c r="S15" s="1">
        <f t="shared" si="1"/>
        <v>426.1</v>
      </c>
      <c r="T15">
        <v>108.5</v>
      </c>
      <c r="U15">
        <v>106.7</v>
      </c>
      <c r="V15" s="1">
        <f t="shared" si="2"/>
        <v>323.5</v>
      </c>
      <c r="W15">
        <v>108.3</v>
      </c>
      <c r="X15">
        <v>100.5</v>
      </c>
      <c r="Y15" s="1">
        <f t="shared" si="3"/>
        <v>207.6</v>
      </c>
      <c r="Z15">
        <v>107.2</v>
      </c>
      <c r="AA15">
        <v>107.1</v>
      </c>
      <c r="AB15">
        <v>106.2</v>
      </c>
      <c r="AC15">
        <v>103.9</v>
      </c>
      <c r="AD15">
        <v>104.6</v>
      </c>
      <c r="AE15">
        <v>105.7</v>
      </c>
      <c r="AF15">
        <v>102.6</v>
      </c>
      <c r="AG15">
        <v>104.9</v>
      </c>
      <c r="AH15">
        <v>106.6</v>
      </c>
      <c r="AI15">
        <f>SUM('Cleaned Data'!AC15,'Cleaned Data'!AE15,'Cleaned Data'!Z15,'Cleaned Data'!AA15)</f>
        <v>423.9</v>
      </c>
      <c r="AJ15" s="1">
        <f t="shared" si="4"/>
        <v>105.97500000000001</v>
      </c>
    </row>
    <row r="16" spans="1:36">
      <c r="A16" t="s">
        <v>6</v>
      </c>
      <c r="B16">
        <v>2013</v>
      </c>
      <c r="C16" t="s">
        <v>21</v>
      </c>
      <c r="D16">
        <v>112.3</v>
      </c>
      <c r="E16">
        <v>111.3</v>
      </c>
      <c r="F16">
        <v>104.7</v>
      </c>
      <c r="G16">
        <v>106.8</v>
      </c>
      <c r="H16">
        <v>103.9</v>
      </c>
      <c r="I16">
        <v>109.3</v>
      </c>
      <c r="J16">
        <v>112.9</v>
      </c>
      <c r="K16">
        <v>105.8</v>
      </c>
      <c r="L16">
        <v>103.1</v>
      </c>
      <c r="M16">
        <v>104.3</v>
      </c>
      <c r="N16">
        <v>108.1</v>
      </c>
      <c r="O16">
        <v>110.5</v>
      </c>
      <c r="P16" s="1">
        <f t="shared" si="0"/>
        <v>1294.0999999999999</v>
      </c>
      <c r="Q16">
        <v>109.2</v>
      </c>
      <c r="R16">
        <v>108.6</v>
      </c>
      <c r="S16" s="1">
        <f t="shared" si="1"/>
        <v>423.8</v>
      </c>
      <c r="T16">
        <v>108.7</v>
      </c>
      <c r="U16">
        <v>107.4</v>
      </c>
      <c r="V16" s="1">
        <f t="shared" si="2"/>
        <v>324.60000000000002</v>
      </c>
      <c r="W16">
        <v>108.5</v>
      </c>
      <c r="X16">
        <v>100.5</v>
      </c>
      <c r="Y16" s="1">
        <f t="shared" si="3"/>
        <v>207.4</v>
      </c>
      <c r="Z16">
        <v>107.4</v>
      </c>
      <c r="AA16">
        <v>106.9</v>
      </c>
      <c r="AB16">
        <v>105.9</v>
      </c>
      <c r="AC16">
        <v>104</v>
      </c>
      <c r="AD16">
        <v>104.8</v>
      </c>
      <c r="AE16">
        <v>105.6</v>
      </c>
      <c r="AF16">
        <v>102.3</v>
      </c>
      <c r="AG16">
        <v>104.8</v>
      </c>
      <c r="AH16">
        <v>106.9</v>
      </c>
      <c r="AI16">
        <f>SUM('Cleaned Data'!AC16,'Cleaned Data'!AE16,'Cleaned Data'!Z16,'Cleaned Data'!AA16)</f>
        <v>423.9</v>
      </c>
      <c r="AJ16" s="1">
        <f t="shared" si="4"/>
        <v>105.97499999999999</v>
      </c>
    </row>
    <row r="17" spans="1:36">
      <c r="A17" t="s">
        <v>93</v>
      </c>
      <c r="B17">
        <v>2013</v>
      </c>
      <c r="C17" t="s">
        <v>23</v>
      </c>
      <c r="D17">
        <v>112.3</v>
      </c>
      <c r="E17">
        <v>112.1</v>
      </c>
      <c r="F17">
        <v>108.1</v>
      </c>
      <c r="G17">
        <v>108.3</v>
      </c>
      <c r="H17">
        <v>105.9</v>
      </c>
      <c r="I17">
        <v>109.2</v>
      </c>
      <c r="J17">
        <v>118</v>
      </c>
      <c r="K17">
        <v>106.8</v>
      </c>
      <c r="L17">
        <v>104.1</v>
      </c>
      <c r="M17">
        <v>105.4</v>
      </c>
      <c r="N17">
        <v>108.2</v>
      </c>
      <c r="O17">
        <v>111</v>
      </c>
      <c r="P17" s="1">
        <f t="shared" si="0"/>
        <v>1311.7999999999997</v>
      </c>
      <c r="Q17">
        <v>110.6</v>
      </c>
      <c r="R17">
        <v>109</v>
      </c>
      <c r="S17" s="1">
        <f t="shared" si="1"/>
        <v>425.29999999999995</v>
      </c>
      <c r="T17">
        <v>109.7</v>
      </c>
      <c r="U17">
        <v>108.8</v>
      </c>
      <c r="V17" s="1">
        <f t="shared" si="2"/>
        <v>328</v>
      </c>
      <c r="W17">
        <v>109.5</v>
      </c>
      <c r="X17">
        <v>106.6</v>
      </c>
      <c r="Y17" s="1">
        <f t="shared" si="3"/>
        <v>214.1</v>
      </c>
      <c r="Z17">
        <v>108.5</v>
      </c>
      <c r="AA17">
        <v>107.5</v>
      </c>
      <c r="AB17">
        <v>106.3</v>
      </c>
      <c r="AC17">
        <v>105</v>
      </c>
      <c r="AD17">
        <v>105.6</v>
      </c>
      <c r="AE17">
        <v>106.5</v>
      </c>
      <c r="AF17">
        <v>102.5</v>
      </c>
      <c r="AG17">
        <v>105.5</v>
      </c>
      <c r="AH17">
        <v>108.9</v>
      </c>
      <c r="AI17">
        <f>SUM('Cleaned Data'!AC17,'Cleaned Data'!AE17,'Cleaned Data'!Z17,'Cleaned Data'!AA17)</f>
        <v>427.5</v>
      </c>
      <c r="AJ17" s="1">
        <f t="shared" si="4"/>
        <v>106.875</v>
      </c>
    </row>
    <row r="18" spans="1:36">
      <c r="A18" t="s">
        <v>94</v>
      </c>
      <c r="B18">
        <v>2013</v>
      </c>
      <c r="C18" t="s">
        <v>23</v>
      </c>
      <c r="D18">
        <v>117</v>
      </c>
      <c r="E18">
        <v>120.1</v>
      </c>
      <c r="F18">
        <v>112.5</v>
      </c>
      <c r="G18">
        <v>107.3</v>
      </c>
      <c r="H18">
        <v>101.3</v>
      </c>
      <c r="I18">
        <v>112.4</v>
      </c>
      <c r="J18">
        <v>143.6</v>
      </c>
      <c r="K18">
        <v>105.4</v>
      </c>
      <c r="L18">
        <v>101.4</v>
      </c>
      <c r="M18">
        <v>106.4</v>
      </c>
      <c r="N18">
        <v>110</v>
      </c>
      <c r="O18">
        <v>112.2</v>
      </c>
      <c r="P18" s="1">
        <f t="shared" si="0"/>
        <v>1354.6</v>
      </c>
      <c r="Q18">
        <v>115</v>
      </c>
      <c r="R18">
        <v>110.9</v>
      </c>
      <c r="S18" s="1">
        <f t="shared" si="1"/>
        <v>429.40000000000003</v>
      </c>
      <c r="T18">
        <v>109.2</v>
      </c>
      <c r="U18">
        <v>107.2</v>
      </c>
      <c r="V18" s="1">
        <f t="shared" si="2"/>
        <v>325.3</v>
      </c>
      <c r="W18">
        <v>108.9</v>
      </c>
      <c r="X18">
        <v>106.6</v>
      </c>
      <c r="Y18" s="1">
        <f t="shared" si="3"/>
        <v>214.3</v>
      </c>
      <c r="Z18">
        <v>108</v>
      </c>
      <c r="AA18">
        <v>107.7</v>
      </c>
      <c r="AB18">
        <v>106.5</v>
      </c>
      <c r="AC18">
        <v>105.2</v>
      </c>
      <c r="AD18">
        <v>105.2</v>
      </c>
      <c r="AE18">
        <v>108.1</v>
      </c>
      <c r="AF18">
        <v>103.3</v>
      </c>
      <c r="AG18">
        <v>106.1</v>
      </c>
      <c r="AH18">
        <v>109.7</v>
      </c>
      <c r="AI18">
        <f>SUM('Cleaned Data'!AC18,'Cleaned Data'!AE18,'Cleaned Data'!Z18,'Cleaned Data'!AA18)</f>
        <v>429</v>
      </c>
      <c r="AJ18" s="1">
        <f t="shared" si="4"/>
        <v>107.25</v>
      </c>
    </row>
    <row r="19" spans="1:36">
      <c r="A19" t="s">
        <v>6</v>
      </c>
      <c r="B19">
        <v>2013</v>
      </c>
      <c r="C19" t="s">
        <v>23</v>
      </c>
      <c r="D19">
        <v>113.8</v>
      </c>
      <c r="E19">
        <v>114.9</v>
      </c>
      <c r="F19">
        <v>109.8</v>
      </c>
      <c r="G19">
        <v>107.9</v>
      </c>
      <c r="H19">
        <v>104.2</v>
      </c>
      <c r="I19">
        <v>110.7</v>
      </c>
      <c r="J19">
        <v>126.7</v>
      </c>
      <c r="K19">
        <v>106.3</v>
      </c>
      <c r="L19">
        <v>103.2</v>
      </c>
      <c r="M19">
        <v>105.7</v>
      </c>
      <c r="N19">
        <v>109</v>
      </c>
      <c r="O19">
        <v>111.6</v>
      </c>
      <c r="P19" s="1">
        <f t="shared" si="0"/>
        <v>1327</v>
      </c>
      <c r="Q19">
        <v>112.2</v>
      </c>
      <c r="R19">
        <v>109.5</v>
      </c>
      <c r="S19" s="1">
        <f t="shared" si="1"/>
        <v>426.7</v>
      </c>
      <c r="T19">
        <v>109.5</v>
      </c>
      <c r="U19">
        <v>108.1</v>
      </c>
      <c r="V19" s="1">
        <f t="shared" si="2"/>
        <v>326.89999999999998</v>
      </c>
      <c r="W19">
        <v>109.3</v>
      </c>
      <c r="X19">
        <v>106.6</v>
      </c>
      <c r="Y19" s="1">
        <f t="shared" si="3"/>
        <v>214.2</v>
      </c>
      <c r="Z19">
        <v>108.3</v>
      </c>
      <c r="AA19">
        <v>107.6</v>
      </c>
      <c r="AB19">
        <v>106.4</v>
      </c>
      <c r="AC19">
        <v>105.1</v>
      </c>
      <c r="AD19">
        <v>105.4</v>
      </c>
      <c r="AE19">
        <v>107.4</v>
      </c>
      <c r="AF19">
        <v>102.8</v>
      </c>
      <c r="AG19">
        <v>105.8</v>
      </c>
      <c r="AH19">
        <v>109.3</v>
      </c>
      <c r="AI19">
        <f>SUM('Cleaned Data'!AC19,'Cleaned Data'!AE19,'Cleaned Data'!Z19,'Cleaned Data'!AA19)</f>
        <v>428.4</v>
      </c>
      <c r="AJ19" s="1">
        <f t="shared" si="4"/>
        <v>107.10000000000001</v>
      </c>
    </row>
    <row r="20" spans="1:36">
      <c r="A20" t="s">
        <v>93</v>
      </c>
      <c r="B20">
        <v>2013</v>
      </c>
      <c r="C20" t="s">
        <v>25</v>
      </c>
      <c r="D20">
        <v>113.4</v>
      </c>
      <c r="E20">
        <v>114.9</v>
      </c>
      <c r="F20">
        <v>110.5</v>
      </c>
      <c r="G20">
        <v>109.3</v>
      </c>
      <c r="H20">
        <v>106.2</v>
      </c>
      <c r="I20">
        <v>110.3</v>
      </c>
      <c r="J20">
        <v>129.19999999999999</v>
      </c>
      <c r="K20">
        <v>107.1</v>
      </c>
      <c r="L20">
        <v>104.3</v>
      </c>
      <c r="M20">
        <v>106.4</v>
      </c>
      <c r="N20">
        <v>109.1</v>
      </c>
      <c r="O20">
        <v>112.1</v>
      </c>
      <c r="P20" s="1">
        <f t="shared" si="0"/>
        <v>1336.8</v>
      </c>
      <c r="Q20">
        <v>113.1</v>
      </c>
      <c r="R20">
        <v>109.8</v>
      </c>
      <c r="S20" s="1">
        <f t="shared" si="1"/>
        <v>427.79999999999995</v>
      </c>
      <c r="T20">
        <v>110.5</v>
      </c>
      <c r="U20">
        <v>109.5</v>
      </c>
      <c r="V20" s="1">
        <f t="shared" si="2"/>
        <v>330.3</v>
      </c>
      <c r="W20">
        <v>110.3</v>
      </c>
      <c r="X20">
        <v>107.7</v>
      </c>
      <c r="Y20" s="1">
        <f t="shared" si="3"/>
        <v>216</v>
      </c>
      <c r="Z20">
        <v>109.5</v>
      </c>
      <c r="AA20">
        <v>108.3</v>
      </c>
      <c r="AB20">
        <v>106.9</v>
      </c>
      <c r="AC20">
        <v>106.8</v>
      </c>
      <c r="AD20">
        <v>106.4</v>
      </c>
      <c r="AE20">
        <v>107.8</v>
      </c>
      <c r="AF20">
        <v>102.5</v>
      </c>
      <c r="AG20">
        <v>106.5</v>
      </c>
      <c r="AH20">
        <v>110.7</v>
      </c>
      <c r="AI20">
        <f>SUM('Cleaned Data'!AC20,'Cleaned Data'!AE20,'Cleaned Data'!Z20,'Cleaned Data'!AA20)</f>
        <v>432.40000000000003</v>
      </c>
      <c r="AJ20" s="1">
        <f t="shared" si="4"/>
        <v>108.1</v>
      </c>
    </row>
    <row r="21" spans="1:36">
      <c r="A21" t="s">
        <v>94</v>
      </c>
      <c r="B21">
        <v>2013</v>
      </c>
      <c r="C21" t="s">
        <v>25</v>
      </c>
      <c r="D21">
        <v>117.8</v>
      </c>
      <c r="E21">
        <v>119.2</v>
      </c>
      <c r="F21">
        <v>114</v>
      </c>
      <c r="G21">
        <v>108.3</v>
      </c>
      <c r="H21">
        <v>101.1</v>
      </c>
      <c r="I21">
        <v>113.2</v>
      </c>
      <c r="J21">
        <v>160.9</v>
      </c>
      <c r="K21">
        <v>105.1</v>
      </c>
      <c r="L21">
        <v>101.3</v>
      </c>
      <c r="M21">
        <v>107.5</v>
      </c>
      <c r="N21">
        <v>110.4</v>
      </c>
      <c r="O21">
        <v>113.1</v>
      </c>
      <c r="P21" s="1">
        <f t="shared" si="0"/>
        <v>1379</v>
      </c>
      <c r="Q21">
        <v>117.5</v>
      </c>
      <c r="R21">
        <v>111.7</v>
      </c>
      <c r="S21" s="1">
        <f t="shared" si="1"/>
        <v>431.2</v>
      </c>
      <c r="T21">
        <v>109.8</v>
      </c>
      <c r="U21">
        <v>107.8</v>
      </c>
      <c r="V21" s="1">
        <f t="shared" si="2"/>
        <v>327.10000000000002</v>
      </c>
      <c r="W21">
        <v>109.5</v>
      </c>
      <c r="X21">
        <v>107.7</v>
      </c>
      <c r="Y21" s="1">
        <f t="shared" si="3"/>
        <v>215.8</v>
      </c>
      <c r="Z21">
        <v>108.6</v>
      </c>
      <c r="AA21">
        <v>108.1</v>
      </c>
      <c r="AB21">
        <v>107.1</v>
      </c>
      <c r="AC21">
        <v>107.3</v>
      </c>
      <c r="AD21">
        <v>105.9</v>
      </c>
      <c r="AE21">
        <v>110.1</v>
      </c>
      <c r="AF21">
        <v>103.2</v>
      </c>
      <c r="AG21">
        <v>107.3</v>
      </c>
      <c r="AH21">
        <v>111.4</v>
      </c>
      <c r="AI21">
        <f>SUM('Cleaned Data'!AC21,'Cleaned Data'!AE21,'Cleaned Data'!Z21,'Cleaned Data'!AA21)</f>
        <v>434.1</v>
      </c>
      <c r="AJ21" s="1">
        <f t="shared" si="4"/>
        <v>108.52500000000001</v>
      </c>
    </row>
    <row r="22" spans="1:36">
      <c r="A22" t="s">
        <v>6</v>
      </c>
      <c r="B22">
        <v>2013</v>
      </c>
      <c r="C22" t="s">
        <v>25</v>
      </c>
      <c r="D22">
        <v>114.8</v>
      </c>
      <c r="E22">
        <v>116.4</v>
      </c>
      <c r="F22">
        <v>111.9</v>
      </c>
      <c r="G22">
        <v>108.9</v>
      </c>
      <c r="H22">
        <v>104.3</v>
      </c>
      <c r="I22">
        <v>111.7</v>
      </c>
      <c r="J22">
        <v>140</v>
      </c>
      <c r="K22">
        <v>106.4</v>
      </c>
      <c r="L22">
        <v>103.3</v>
      </c>
      <c r="M22">
        <v>106.8</v>
      </c>
      <c r="N22">
        <v>109.6</v>
      </c>
      <c r="O22">
        <v>112.6</v>
      </c>
      <c r="P22" s="1">
        <f t="shared" si="0"/>
        <v>1351.8</v>
      </c>
      <c r="Q22">
        <v>114.7</v>
      </c>
      <c r="R22">
        <v>110.3</v>
      </c>
      <c r="S22" s="1">
        <f t="shared" si="1"/>
        <v>428.8</v>
      </c>
      <c r="T22">
        <v>110.2</v>
      </c>
      <c r="U22">
        <v>108.8</v>
      </c>
      <c r="V22" s="1">
        <f t="shared" si="2"/>
        <v>329</v>
      </c>
      <c r="W22">
        <v>110</v>
      </c>
      <c r="X22">
        <v>107.7</v>
      </c>
      <c r="Y22" s="1">
        <f t="shared" si="3"/>
        <v>215.9</v>
      </c>
      <c r="Z22">
        <v>109.2</v>
      </c>
      <c r="AA22">
        <v>108.2</v>
      </c>
      <c r="AB22">
        <v>107</v>
      </c>
      <c r="AC22">
        <v>107.1</v>
      </c>
      <c r="AD22">
        <v>106.1</v>
      </c>
      <c r="AE22">
        <v>109.1</v>
      </c>
      <c r="AF22">
        <v>102.8</v>
      </c>
      <c r="AG22">
        <v>106.9</v>
      </c>
      <c r="AH22">
        <v>111</v>
      </c>
      <c r="AI22">
        <f>SUM('Cleaned Data'!AC22,'Cleaned Data'!AE22,'Cleaned Data'!Z22,'Cleaned Data'!AA22)</f>
        <v>433.59999999999997</v>
      </c>
      <c r="AJ22" s="1">
        <f t="shared" si="4"/>
        <v>108.39999999999999</v>
      </c>
    </row>
    <row r="23" spans="1:36">
      <c r="A23" t="s">
        <v>93</v>
      </c>
      <c r="B23">
        <v>2013</v>
      </c>
      <c r="C23" t="s">
        <v>27</v>
      </c>
      <c r="D23">
        <v>114.3</v>
      </c>
      <c r="E23">
        <v>115.4</v>
      </c>
      <c r="F23">
        <v>111.1</v>
      </c>
      <c r="G23">
        <v>110</v>
      </c>
      <c r="H23">
        <v>106.4</v>
      </c>
      <c r="I23">
        <v>110.8</v>
      </c>
      <c r="J23">
        <v>138.9</v>
      </c>
      <c r="K23">
        <v>107.4</v>
      </c>
      <c r="L23">
        <v>104.1</v>
      </c>
      <c r="M23">
        <v>106.9</v>
      </c>
      <c r="N23">
        <v>109.7</v>
      </c>
      <c r="O23">
        <v>112.6</v>
      </c>
      <c r="P23" s="1">
        <f t="shared" si="0"/>
        <v>1352.8</v>
      </c>
      <c r="Q23">
        <v>114.9</v>
      </c>
      <c r="R23">
        <v>110.7</v>
      </c>
      <c r="S23" s="1">
        <f t="shared" si="1"/>
        <v>432.2</v>
      </c>
      <c r="T23">
        <v>111.3</v>
      </c>
      <c r="U23">
        <v>110.2</v>
      </c>
      <c r="V23" s="1">
        <f t="shared" si="2"/>
        <v>332.6</v>
      </c>
      <c r="W23">
        <v>111.1</v>
      </c>
      <c r="X23">
        <v>108.9</v>
      </c>
      <c r="Y23" s="1">
        <f t="shared" si="3"/>
        <v>217.60000000000002</v>
      </c>
      <c r="Z23">
        <v>109.9</v>
      </c>
      <c r="AA23">
        <v>108.7</v>
      </c>
      <c r="AB23">
        <v>107.5</v>
      </c>
      <c r="AC23">
        <v>107.8</v>
      </c>
      <c r="AD23">
        <v>106.8</v>
      </c>
      <c r="AE23">
        <v>108.7</v>
      </c>
      <c r="AF23">
        <v>105</v>
      </c>
      <c r="AG23">
        <v>107.5</v>
      </c>
      <c r="AH23">
        <v>112.1</v>
      </c>
      <c r="AI23">
        <f>SUM('Cleaned Data'!AC23,'Cleaned Data'!AE23,'Cleaned Data'!Z23,'Cleaned Data'!AA23)</f>
        <v>435.09999999999997</v>
      </c>
      <c r="AJ23" s="1">
        <f t="shared" si="4"/>
        <v>108.77500000000001</v>
      </c>
    </row>
    <row r="24" spans="1:36">
      <c r="A24" t="s">
        <v>94</v>
      </c>
      <c r="B24">
        <v>2013</v>
      </c>
      <c r="C24" t="s">
        <v>27</v>
      </c>
      <c r="D24">
        <v>118.3</v>
      </c>
      <c r="E24">
        <v>120.4</v>
      </c>
      <c r="F24">
        <v>112.7</v>
      </c>
      <c r="G24">
        <v>108.9</v>
      </c>
      <c r="H24">
        <v>101.1</v>
      </c>
      <c r="I24">
        <v>108.7</v>
      </c>
      <c r="J24">
        <v>177</v>
      </c>
      <c r="K24">
        <v>104.7</v>
      </c>
      <c r="L24">
        <v>101</v>
      </c>
      <c r="M24">
        <v>108.5</v>
      </c>
      <c r="N24">
        <v>110.9</v>
      </c>
      <c r="O24">
        <v>114.3</v>
      </c>
      <c r="P24" s="1">
        <f t="shared" si="0"/>
        <v>1395.2</v>
      </c>
      <c r="Q24">
        <v>119.6</v>
      </c>
      <c r="R24">
        <v>112.4</v>
      </c>
      <c r="S24" s="1">
        <f t="shared" si="1"/>
        <v>435.8</v>
      </c>
      <c r="T24">
        <v>110.6</v>
      </c>
      <c r="U24">
        <v>108.3</v>
      </c>
      <c r="V24" s="1">
        <f t="shared" si="2"/>
        <v>329.09999999999997</v>
      </c>
      <c r="W24">
        <v>110.2</v>
      </c>
      <c r="X24">
        <v>108.9</v>
      </c>
      <c r="Y24" s="1">
        <f t="shared" si="3"/>
        <v>217.60000000000002</v>
      </c>
      <c r="Z24">
        <v>109.3</v>
      </c>
      <c r="AA24">
        <v>108.7</v>
      </c>
      <c r="AB24">
        <v>107.6</v>
      </c>
      <c r="AC24">
        <v>108.1</v>
      </c>
      <c r="AD24">
        <v>106.5</v>
      </c>
      <c r="AE24">
        <v>110.8</v>
      </c>
      <c r="AF24">
        <v>106</v>
      </c>
      <c r="AG24">
        <v>108.3</v>
      </c>
      <c r="AH24">
        <v>112.7</v>
      </c>
      <c r="AI24">
        <f>SUM('Cleaned Data'!AC24,'Cleaned Data'!AE24,'Cleaned Data'!Z24,'Cleaned Data'!AA24)</f>
        <v>436.9</v>
      </c>
      <c r="AJ24" s="1">
        <f t="shared" si="4"/>
        <v>109.22499999999999</v>
      </c>
    </row>
    <row r="25" spans="1:36">
      <c r="A25" t="s">
        <v>6</v>
      </c>
      <c r="B25">
        <v>2013</v>
      </c>
      <c r="C25" t="s">
        <v>27</v>
      </c>
      <c r="D25">
        <v>115.6</v>
      </c>
      <c r="E25">
        <v>117.2</v>
      </c>
      <c r="F25">
        <v>111.7</v>
      </c>
      <c r="G25">
        <v>109.6</v>
      </c>
      <c r="H25">
        <v>104.5</v>
      </c>
      <c r="I25">
        <v>109.8</v>
      </c>
      <c r="J25">
        <v>151.80000000000001</v>
      </c>
      <c r="K25">
        <v>106.5</v>
      </c>
      <c r="L25">
        <v>103.1</v>
      </c>
      <c r="M25">
        <v>107.4</v>
      </c>
      <c r="N25">
        <v>110.2</v>
      </c>
      <c r="O25">
        <v>113.4</v>
      </c>
      <c r="P25" s="1">
        <f t="shared" si="0"/>
        <v>1367.1999999999998</v>
      </c>
      <c r="Q25">
        <v>116.6</v>
      </c>
      <c r="R25">
        <v>111.2</v>
      </c>
      <c r="S25" s="1">
        <f t="shared" si="1"/>
        <v>433.4</v>
      </c>
      <c r="T25">
        <v>111</v>
      </c>
      <c r="U25">
        <v>109.4</v>
      </c>
      <c r="V25" s="1">
        <f t="shared" si="2"/>
        <v>331.1</v>
      </c>
      <c r="W25">
        <v>110.7</v>
      </c>
      <c r="X25">
        <v>108.9</v>
      </c>
      <c r="Y25" s="1">
        <f t="shared" si="3"/>
        <v>217.60000000000002</v>
      </c>
      <c r="Z25">
        <v>109.7</v>
      </c>
      <c r="AA25">
        <v>108.7</v>
      </c>
      <c r="AB25">
        <v>107.5</v>
      </c>
      <c r="AC25">
        <v>108</v>
      </c>
      <c r="AD25">
        <v>106.6</v>
      </c>
      <c r="AE25">
        <v>109.9</v>
      </c>
      <c r="AF25">
        <v>105.4</v>
      </c>
      <c r="AG25">
        <v>107.9</v>
      </c>
      <c r="AH25">
        <v>112.4</v>
      </c>
      <c r="AI25">
        <f>SUM('Cleaned Data'!AC25,'Cleaned Data'!AE25,'Cleaned Data'!Z25,'Cleaned Data'!AA25)</f>
        <v>436.3</v>
      </c>
      <c r="AJ25" s="1">
        <f t="shared" si="4"/>
        <v>109.075</v>
      </c>
    </row>
    <row r="26" spans="1:36">
      <c r="A26" t="s">
        <v>93</v>
      </c>
      <c r="B26">
        <v>2013</v>
      </c>
      <c r="C26" t="s">
        <v>29</v>
      </c>
      <c r="D26">
        <v>115.4</v>
      </c>
      <c r="E26">
        <v>115.7</v>
      </c>
      <c r="F26">
        <v>111.7</v>
      </c>
      <c r="G26">
        <v>111</v>
      </c>
      <c r="H26">
        <v>107.4</v>
      </c>
      <c r="I26">
        <v>110.9</v>
      </c>
      <c r="J26">
        <v>154</v>
      </c>
      <c r="K26">
        <v>108.1</v>
      </c>
      <c r="L26">
        <v>104.2</v>
      </c>
      <c r="M26">
        <v>107.9</v>
      </c>
      <c r="N26">
        <v>110.4</v>
      </c>
      <c r="O26">
        <v>114</v>
      </c>
      <c r="P26" s="1">
        <f t="shared" si="0"/>
        <v>1378.1000000000001</v>
      </c>
      <c r="Q26">
        <v>117.8</v>
      </c>
      <c r="R26">
        <v>111.7</v>
      </c>
      <c r="S26" s="1">
        <f t="shared" si="1"/>
        <v>436.5</v>
      </c>
      <c r="T26">
        <v>112.7</v>
      </c>
      <c r="U26">
        <v>111.4</v>
      </c>
      <c r="V26" s="1">
        <f t="shared" si="2"/>
        <v>336.6</v>
      </c>
      <c r="W26">
        <v>112.5</v>
      </c>
      <c r="X26">
        <v>109.7</v>
      </c>
      <c r="Y26" s="1">
        <f t="shared" si="3"/>
        <v>219.3</v>
      </c>
      <c r="Z26">
        <v>111.1</v>
      </c>
      <c r="AA26">
        <v>109.6</v>
      </c>
      <c r="AB26">
        <v>108.3</v>
      </c>
      <c r="AC26">
        <v>109.3</v>
      </c>
      <c r="AD26">
        <v>107.7</v>
      </c>
      <c r="AE26">
        <v>109.8</v>
      </c>
      <c r="AF26">
        <v>106.7</v>
      </c>
      <c r="AG26">
        <v>108.7</v>
      </c>
      <c r="AH26">
        <v>114.2</v>
      </c>
      <c r="AI26">
        <f>SUM('Cleaned Data'!AC26,'Cleaned Data'!AE26,'Cleaned Data'!Z26,'Cleaned Data'!AA26)</f>
        <v>439.79999999999995</v>
      </c>
      <c r="AJ26" s="1">
        <f t="shared" si="4"/>
        <v>109.94999999999999</v>
      </c>
    </row>
    <row r="27" spans="1:36">
      <c r="A27" t="s">
        <v>94</v>
      </c>
      <c r="B27">
        <v>2013</v>
      </c>
      <c r="C27" t="s">
        <v>29</v>
      </c>
      <c r="D27">
        <v>118.6</v>
      </c>
      <c r="E27">
        <v>119.1</v>
      </c>
      <c r="F27">
        <v>113.2</v>
      </c>
      <c r="G27">
        <v>109.6</v>
      </c>
      <c r="H27">
        <v>101.7</v>
      </c>
      <c r="I27">
        <v>103.2</v>
      </c>
      <c r="J27">
        <v>174.3</v>
      </c>
      <c r="K27">
        <v>105.1</v>
      </c>
      <c r="L27">
        <v>100.8</v>
      </c>
      <c r="M27">
        <v>109.1</v>
      </c>
      <c r="N27">
        <v>111.1</v>
      </c>
      <c r="O27">
        <v>115.4</v>
      </c>
      <c r="P27" s="1">
        <f t="shared" si="0"/>
        <v>1389.3</v>
      </c>
      <c r="Q27">
        <v>119.2</v>
      </c>
      <c r="R27">
        <v>112.9</v>
      </c>
      <c r="S27" s="1">
        <f t="shared" si="1"/>
        <v>438.29999999999995</v>
      </c>
      <c r="T27">
        <v>111.4</v>
      </c>
      <c r="U27">
        <v>109</v>
      </c>
      <c r="V27" s="1">
        <f t="shared" si="2"/>
        <v>331.5</v>
      </c>
      <c r="W27">
        <v>111.1</v>
      </c>
      <c r="X27">
        <v>109.7</v>
      </c>
      <c r="Y27" s="1">
        <f t="shared" si="3"/>
        <v>219.3</v>
      </c>
      <c r="Z27">
        <v>109.5</v>
      </c>
      <c r="AA27">
        <v>109.6</v>
      </c>
      <c r="AB27">
        <v>107.9</v>
      </c>
      <c r="AC27">
        <v>110.4</v>
      </c>
      <c r="AD27">
        <v>107.4</v>
      </c>
      <c r="AE27">
        <v>111.2</v>
      </c>
      <c r="AF27">
        <v>106.9</v>
      </c>
      <c r="AG27">
        <v>109.4</v>
      </c>
      <c r="AH27">
        <v>113.2</v>
      </c>
      <c r="AI27">
        <f>SUM('Cleaned Data'!AC27,'Cleaned Data'!AE27,'Cleaned Data'!Z27,'Cleaned Data'!AA27)</f>
        <v>440.70000000000005</v>
      </c>
      <c r="AJ27" s="1">
        <f t="shared" si="4"/>
        <v>110.17500000000001</v>
      </c>
    </row>
    <row r="28" spans="1:36">
      <c r="A28" t="s">
        <v>6</v>
      </c>
      <c r="B28">
        <v>2013</v>
      </c>
      <c r="C28" t="s">
        <v>29</v>
      </c>
      <c r="D28">
        <v>116.4</v>
      </c>
      <c r="E28">
        <v>116.9</v>
      </c>
      <c r="F28">
        <v>112.3</v>
      </c>
      <c r="G28">
        <v>110.5</v>
      </c>
      <c r="H28">
        <v>105.3</v>
      </c>
      <c r="I28">
        <v>107.3</v>
      </c>
      <c r="J28">
        <v>160.9</v>
      </c>
      <c r="K28">
        <v>107.1</v>
      </c>
      <c r="L28">
        <v>103.1</v>
      </c>
      <c r="M28">
        <v>108.3</v>
      </c>
      <c r="N28">
        <v>110.7</v>
      </c>
      <c r="O28">
        <v>114.6</v>
      </c>
      <c r="P28" s="1">
        <f t="shared" si="0"/>
        <v>1381</v>
      </c>
      <c r="Q28">
        <v>118.3</v>
      </c>
      <c r="R28">
        <v>112</v>
      </c>
      <c r="S28" s="1">
        <f t="shared" si="1"/>
        <v>437</v>
      </c>
      <c r="T28">
        <v>112.2</v>
      </c>
      <c r="U28">
        <v>110.4</v>
      </c>
      <c r="V28" s="1">
        <f t="shared" si="2"/>
        <v>334.5</v>
      </c>
      <c r="W28">
        <v>111.9</v>
      </c>
      <c r="X28">
        <v>109.7</v>
      </c>
      <c r="Y28" s="1">
        <f t="shared" si="3"/>
        <v>219.3</v>
      </c>
      <c r="Z28">
        <v>110.5</v>
      </c>
      <c r="AA28">
        <v>109.6</v>
      </c>
      <c r="AB28">
        <v>108.1</v>
      </c>
      <c r="AC28">
        <v>109.9</v>
      </c>
      <c r="AD28">
        <v>107.5</v>
      </c>
      <c r="AE28">
        <v>110.6</v>
      </c>
      <c r="AF28">
        <v>106.8</v>
      </c>
      <c r="AG28">
        <v>109</v>
      </c>
      <c r="AH28">
        <v>113.7</v>
      </c>
      <c r="AI28">
        <f>SUM('Cleaned Data'!AC28,'Cleaned Data'!AE28,'Cleaned Data'!Z28,'Cleaned Data'!AA28)</f>
        <v>440.6</v>
      </c>
      <c r="AJ28" s="1">
        <f t="shared" si="4"/>
        <v>110.15</v>
      </c>
    </row>
    <row r="29" spans="1:36">
      <c r="A29" t="s">
        <v>93</v>
      </c>
      <c r="B29">
        <v>2013</v>
      </c>
      <c r="C29" t="s">
        <v>31</v>
      </c>
      <c r="D29">
        <v>116.3</v>
      </c>
      <c r="E29">
        <v>115.4</v>
      </c>
      <c r="F29">
        <v>112.6</v>
      </c>
      <c r="G29">
        <v>111.7</v>
      </c>
      <c r="H29">
        <v>107.7</v>
      </c>
      <c r="I29">
        <v>113.2</v>
      </c>
      <c r="J29">
        <v>164.9</v>
      </c>
      <c r="K29">
        <v>108.3</v>
      </c>
      <c r="L29">
        <v>103.9</v>
      </c>
      <c r="M29">
        <v>108.2</v>
      </c>
      <c r="N29">
        <v>111.1</v>
      </c>
      <c r="O29">
        <v>114.9</v>
      </c>
      <c r="P29" s="1">
        <f t="shared" si="0"/>
        <v>1396.9</v>
      </c>
      <c r="Q29">
        <v>119.8</v>
      </c>
      <c r="R29">
        <v>112.2</v>
      </c>
      <c r="S29" s="1">
        <f t="shared" si="1"/>
        <v>439.1</v>
      </c>
      <c r="T29">
        <v>113.6</v>
      </c>
      <c r="U29">
        <v>112.3</v>
      </c>
      <c r="V29" s="1">
        <f t="shared" si="2"/>
        <v>339.29999999999995</v>
      </c>
      <c r="W29">
        <v>113.4</v>
      </c>
      <c r="X29">
        <v>110.5</v>
      </c>
      <c r="Y29" s="1">
        <f t="shared" si="3"/>
        <v>220.9</v>
      </c>
      <c r="Z29">
        <v>111.6</v>
      </c>
      <c r="AA29">
        <v>110.4</v>
      </c>
      <c r="AB29">
        <v>108.9</v>
      </c>
      <c r="AC29">
        <v>109.3</v>
      </c>
      <c r="AD29">
        <v>108.3</v>
      </c>
      <c r="AE29">
        <v>110.2</v>
      </c>
      <c r="AF29">
        <v>107.5</v>
      </c>
      <c r="AG29">
        <v>109.1</v>
      </c>
      <c r="AH29">
        <v>115.5</v>
      </c>
      <c r="AI29">
        <f>SUM('Cleaned Data'!AC29,'Cleaned Data'!AE29,'Cleaned Data'!Z29,'Cleaned Data'!AA29)</f>
        <v>441.5</v>
      </c>
      <c r="AJ29" s="1">
        <f t="shared" si="4"/>
        <v>110.375</v>
      </c>
    </row>
    <row r="30" spans="1:36">
      <c r="A30" t="s">
        <v>94</v>
      </c>
      <c r="B30">
        <v>2013</v>
      </c>
      <c r="C30" t="s">
        <v>31</v>
      </c>
      <c r="D30">
        <v>118.9</v>
      </c>
      <c r="E30">
        <v>118.1</v>
      </c>
      <c r="F30">
        <v>114.5</v>
      </c>
      <c r="G30">
        <v>110.4</v>
      </c>
      <c r="H30">
        <v>102.3</v>
      </c>
      <c r="I30">
        <v>106.2</v>
      </c>
      <c r="J30">
        <v>183.5</v>
      </c>
      <c r="K30">
        <v>105.3</v>
      </c>
      <c r="L30">
        <v>100.2</v>
      </c>
      <c r="M30">
        <v>109.6</v>
      </c>
      <c r="N30">
        <v>111.4</v>
      </c>
      <c r="O30">
        <v>116</v>
      </c>
      <c r="P30" s="1">
        <f t="shared" si="0"/>
        <v>1405.8</v>
      </c>
      <c r="Q30">
        <v>120.8</v>
      </c>
      <c r="R30">
        <v>113.5</v>
      </c>
      <c r="S30" s="1">
        <f t="shared" si="1"/>
        <v>440.2</v>
      </c>
      <c r="T30">
        <v>112.5</v>
      </c>
      <c r="U30">
        <v>109.7</v>
      </c>
      <c r="V30" s="1">
        <f t="shared" si="2"/>
        <v>334.2</v>
      </c>
      <c r="W30">
        <v>112</v>
      </c>
      <c r="X30">
        <v>110.5</v>
      </c>
      <c r="Y30" s="1">
        <f t="shared" si="3"/>
        <v>220.7</v>
      </c>
      <c r="Z30">
        <v>109.7</v>
      </c>
      <c r="AA30">
        <v>110.2</v>
      </c>
      <c r="AB30">
        <v>108.2</v>
      </c>
      <c r="AC30">
        <v>109.7</v>
      </c>
      <c r="AD30">
        <v>108</v>
      </c>
      <c r="AE30">
        <v>111.3</v>
      </c>
      <c r="AF30">
        <v>107.3</v>
      </c>
      <c r="AG30">
        <v>109.4</v>
      </c>
      <c r="AH30">
        <v>114</v>
      </c>
      <c r="AI30">
        <f>SUM('Cleaned Data'!AC30,'Cleaned Data'!AE30,'Cleaned Data'!Z30,'Cleaned Data'!AA30)</f>
        <v>440.9</v>
      </c>
      <c r="AJ30" s="1">
        <f t="shared" si="4"/>
        <v>110.22499999999999</v>
      </c>
    </row>
    <row r="31" spans="1:36">
      <c r="A31" t="s">
        <v>6</v>
      </c>
      <c r="B31">
        <v>2013</v>
      </c>
      <c r="C31" t="s">
        <v>31</v>
      </c>
      <c r="D31">
        <v>117.1</v>
      </c>
      <c r="E31">
        <v>116.3</v>
      </c>
      <c r="F31">
        <v>113.3</v>
      </c>
      <c r="G31">
        <v>111.2</v>
      </c>
      <c r="H31">
        <v>105.7</v>
      </c>
      <c r="I31">
        <v>109.9</v>
      </c>
      <c r="J31">
        <v>171.2</v>
      </c>
      <c r="K31">
        <v>107.3</v>
      </c>
      <c r="L31">
        <v>102.7</v>
      </c>
      <c r="M31">
        <v>108.7</v>
      </c>
      <c r="N31">
        <v>111.2</v>
      </c>
      <c r="O31">
        <v>115.4</v>
      </c>
      <c r="P31" s="1">
        <f t="shared" si="0"/>
        <v>1399</v>
      </c>
      <c r="Q31">
        <v>120.2</v>
      </c>
      <c r="R31">
        <v>112.5</v>
      </c>
      <c r="S31" s="1">
        <f t="shared" si="1"/>
        <v>439.19999999999993</v>
      </c>
      <c r="T31">
        <v>113.2</v>
      </c>
      <c r="U31">
        <v>111.2</v>
      </c>
      <c r="V31" s="1">
        <f t="shared" si="2"/>
        <v>337.2</v>
      </c>
      <c r="W31">
        <v>112.8</v>
      </c>
      <c r="X31">
        <v>110.5</v>
      </c>
      <c r="Y31" s="1">
        <f t="shared" si="3"/>
        <v>220.8</v>
      </c>
      <c r="Z31">
        <v>110.9</v>
      </c>
      <c r="AA31">
        <v>110.3</v>
      </c>
      <c r="AB31">
        <v>108.6</v>
      </c>
      <c r="AC31">
        <v>109.5</v>
      </c>
      <c r="AD31">
        <v>108.1</v>
      </c>
      <c r="AE31">
        <v>110.8</v>
      </c>
      <c r="AF31">
        <v>107.4</v>
      </c>
      <c r="AG31">
        <v>109.2</v>
      </c>
      <c r="AH31">
        <v>114.8</v>
      </c>
      <c r="AI31">
        <f>SUM('Cleaned Data'!AC31,'Cleaned Data'!AE31,'Cleaned Data'!Z31,'Cleaned Data'!AA31)</f>
        <v>441.50000000000006</v>
      </c>
      <c r="AJ31" s="1">
        <f t="shared" si="4"/>
        <v>110.375</v>
      </c>
    </row>
    <row r="32" spans="1:36">
      <c r="A32" t="s">
        <v>93</v>
      </c>
      <c r="B32">
        <v>2013</v>
      </c>
      <c r="C32" t="s">
        <v>33</v>
      </c>
      <c r="D32">
        <v>117.3</v>
      </c>
      <c r="E32">
        <v>114.9</v>
      </c>
      <c r="F32">
        <v>116.2</v>
      </c>
      <c r="G32">
        <v>112.8</v>
      </c>
      <c r="H32">
        <v>108.9</v>
      </c>
      <c r="I32">
        <v>116.6</v>
      </c>
      <c r="J32">
        <v>178.1</v>
      </c>
      <c r="K32">
        <v>109.1</v>
      </c>
      <c r="L32">
        <v>103.6</v>
      </c>
      <c r="M32">
        <v>109</v>
      </c>
      <c r="N32">
        <v>111.8</v>
      </c>
      <c r="O32">
        <v>116</v>
      </c>
      <c r="P32" s="1">
        <f t="shared" si="0"/>
        <v>1425</v>
      </c>
      <c r="Q32">
        <v>122.5</v>
      </c>
      <c r="R32">
        <v>112.8</v>
      </c>
      <c r="S32" s="1">
        <f t="shared" si="1"/>
        <v>441.5</v>
      </c>
      <c r="T32">
        <v>114.6</v>
      </c>
      <c r="U32">
        <v>113.1</v>
      </c>
      <c r="V32" s="1">
        <f t="shared" si="2"/>
        <v>342.1</v>
      </c>
      <c r="W32">
        <v>114.4</v>
      </c>
      <c r="X32">
        <v>111.1</v>
      </c>
      <c r="Y32" s="1">
        <f t="shared" si="3"/>
        <v>222.39999999999998</v>
      </c>
      <c r="Z32">
        <v>112.6</v>
      </c>
      <c r="AA32">
        <v>111.3</v>
      </c>
      <c r="AB32">
        <v>109.7</v>
      </c>
      <c r="AC32">
        <v>109.6</v>
      </c>
      <c r="AD32">
        <v>108.7</v>
      </c>
      <c r="AE32">
        <v>111</v>
      </c>
      <c r="AF32">
        <v>108.2</v>
      </c>
      <c r="AG32">
        <v>109.8</v>
      </c>
      <c r="AH32">
        <v>117.4</v>
      </c>
      <c r="AI32">
        <f>SUM('Cleaned Data'!AC32,'Cleaned Data'!AE32,'Cleaned Data'!Z32,'Cleaned Data'!AA32)</f>
        <v>444.5</v>
      </c>
      <c r="AJ32" s="1">
        <f t="shared" si="4"/>
        <v>111.125</v>
      </c>
    </row>
    <row r="33" spans="1:36">
      <c r="A33" t="s">
        <v>94</v>
      </c>
      <c r="B33">
        <v>2013</v>
      </c>
      <c r="C33" t="s">
        <v>33</v>
      </c>
      <c r="D33">
        <v>119.8</v>
      </c>
      <c r="E33">
        <v>116.3</v>
      </c>
      <c r="F33">
        <v>122.6</v>
      </c>
      <c r="G33">
        <v>112</v>
      </c>
      <c r="H33">
        <v>103.2</v>
      </c>
      <c r="I33">
        <v>110</v>
      </c>
      <c r="J33">
        <v>192.8</v>
      </c>
      <c r="K33">
        <v>106.3</v>
      </c>
      <c r="L33">
        <v>99.5</v>
      </c>
      <c r="M33">
        <v>110.3</v>
      </c>
      <c r="N33">
        <v>111.8</v>
      </c>
      <c r="O33">
        <v>117.1</v>
      </c>
      <c r="P33" s="1">
        <f t="shared" si="0"/>
        <v>1432.8</v>
      </c>
      <c r="Q33">
        <v>122.9</v>
      </c>
      <c r="R33">
        <v>114.1</v>
      </c>
      <c r="S33" s="1">
        <f t="shared" si="1"/>
        <v>442.29999999999995</v>
      </c>
      <c r="T33">
        <v>113.5</v>
      </c>
      <c r="U33">
        <v>110.3</v>
      </c>
      <c r="V33" s="1">
        <f t="shared" si="2"/>
        <v>336.8</v>
      </c>
      <c r="W33">
        <v>113</v>
      </c>
      <c r="X33">
        <v>111.1</v>
      </c>
      <c r="Y33" s="1">
        <f t="shared" si="3"/>
        <v>222</v>
      </c>
      <c r="Z33">
        <v>110</v>
      </c>
      <c r="AA33">
        <v>110.9</v>
      </c>
      <c r="AB33">
        <v>108.6</v>
      </c>
      <c r="AC33">
        <v>109.5</v>
      </c>
      <c r="AD33">
        <v>108.5</v>
      </c>
      <c r="AE33">
        <v>111.3</v>
      </c>
      <c r="AF33">
        <v>107.9</v>
      </c>
      <c r="AG33">
        <v>109.6</v>
      </c>
      <c r="AH33">
        <v>115</v>
      </c>
      <c r="AI33">
        <f>SUM('Cleaned Data'!AC33,'Cleaned Data'!AE33,'Cleaned Data'!Z33,'Cleaned Data'!AA33)</f>
        <v>441.70000000000005</v>
      </c>
      <c r="AJ33" s="1">
        <f t="shared" si="4"/>
        <v>110.42500000000001</v>
      </c>
    </row>
    <row r="34" spans="1:36">
      <c r="A34" t="s">
        <v>6</v>
      </c>
      <c r="B34">
        <v>2013</v>
      </c>
      <c r="C34" t="s">
        <v>33</v>
      </c>
      <c r="D34">
        <v>118.1</v>
      </c>
      <c r="E34">
        <v>115.4</v>
      </c>
      <c r="F34">
        <v>118.7</v>
      </c>
      <c r="G34">
        <v>112.5</v>
      </c>
      <c r="H34">
        <v>106.8</v>
      </c>
      <c r="I34">
        <v>113.5</v>
      </c>
      <c r="J34">
        <v>183.1</v>
      </c>
      <c r="K34">
        <v>108.2</v>
      </c>
      <c r="L34">
        <v>102.2</v>
      </c>
      <c r="M34">
        <v>109.4</v>
      </c>
      <c r="N34">
        <v>111.8</v>
      </c>
      <c r="O34">
        <v>116.5</v>
      </c>
      <c r="P34" s="1">
        <f t="shared" si="0"/>
        <v>1426.9999999999998</v>
      </c>
      <c r="Q34">
        <v>122.6</v>
      </c>
      <c r="R34">
        <v>113.1</v>
      </c>
      <c r="S34" s="1">
        <f t="shared" si="1"/>
        <v>441.6</v>
      </c>
      <c r="T34">
        <v>114.2</v>
      </c>
      <c r="U34">
        <v>111.9</v>
      </c>
      <c r="V34" s="1">
        <f t="shared" si="2"/>
        <v>339.90000000000003</v>
      </c>
      <c r="W34">
        <v>113.8</v>
      </c>
      <c r="X34">
        <v>111.1</v>
      </c>
      <c r="Y34" s="1">
        <f t="shared" si="3"/>
        <v>222.2</v>
      </c>
      <c r="Z34">
        <v>111.6</v>
      </c>
      <c r="AA34">
        <v>111.1</v>
      </c>
      <c r="AB34">
        <v>109.3</v>
      </c>
      <c r="AC34">
        <v>109.5</v>
      </c>
      <c r="AD34">
        <v>108.6</v>
      </c>
      <c r="AE34">
        <v>111.2</v>
      </c>
      <c r="AF34">
        <v>108.1</v>
      </c>
      <c r="AG34">
        <v>109.7</v>
      </c>
      <c r="AH34">
        <v>116.3</v>
      </c>
      <c r="AI34">
        <f>SUM('Cleaned Data'!AC34,'Cleaned Data'!AE34,'Cleaned Data'!Z34,'Cleaned Data'!AA34)</f>
        <v>443.4</v>
      </c>
      <c r="AJ34" s="1">
        <f t="shared" si="4"/>
        <v>110.85</v>
      </c>
    </row>
    <row r="35" spans="1:36">
      <c r="A35" t="s">
        <v>93</v>
      </c>
      <c r="B35">
        <v>2013</v>
      </c>
      <c r="C35" t="s">
        <v>35</v>
      </c>
      <c r="D35">
        <v>118.4</v>
      </c>
      <c r="E35">
        <v>115.9</v>
      </c>
      <c r="F35">
        <v>120.4</v>
      </c>
      <c r="G35">
        <v>113.8</v>
      </c>
      <c r="H35">
        <v>109.5</v>
      </c>
      <c r="I35">
        <v>115.5</v>
      </c>
      <c r="J35">
        <v>145.69999999999999</v>
      </c>
      <c r="K35">
        <v>109.5</v>
      </c>
      <c r="L35">
        <v>102.9</v>
      </c>
      <c r="M35">
        <v>109.8</v>
      </c>
      <c r="N35">
        <v>112.1</v>
      </c>
      <c r="O35">
        <v>116.8</v>
      </c>
      <c r="P35" s="1">
        <f t="shared" si="0"/>
        <v>1396.9000000000003</v>
      </c>
      <c r="Q35">
        <v>118.7</v>
      </c>
      <c r="R35">
        <v>113.6</v>
      </c>
      <c r="S35" s="1">
        <f t="shared" si="1"/>
        <v>443</v>
      </c>
      <c r="T35">
        <v>115.8</v>
      </c>
      <c r="U35">
        <v>114</v>
      </c>
      <c r="V35" s="1">
        <f t="shared" si="2"/>
        <v>345.3</v>
      </c>
      <c r="W35">
        <v>115.5</v>
      </c>
      <c r="X35">
        <v>110.7</v>
      </c>
      <c r="Y35" s="1">
        <f t="shared" si="3"/>
        <v>222.8</v>
      </c>
      <c r="Z35">
        <v>112.8</v>
      </c>
      <c r="AA35">
        <v>112.1</v>
      </c>
      <c r="AB35">
        <v>110.1</v>
      </c>
      <c r="AC35">
        <v>109.9</v>
      </c>
      <c r="AD35">
        <v>109.2</v>
      </c>
      <c r="AE35">
        <v>111.6</v>
      </c>
      <c r="AF35">
        <v>108.1</v>
      </c>
      <c r="AG35">
        <v>110.1</v>
      </c>
      <c r="AH35">
        <v>115.5</v>
      </c>
      <c r="AI35">
        <f>SUM('Cleaned Data'!AC35,'Cleaned Data'!AE35,'Cleaned Data'!Z35,'Cleaned Data'!AA35)</f>
        <v>446.4</v>
      </c>
      <c r="AJ35" s="1">
        <f t="shared" si="4"/>
        <v>111.60000000000001</v>
      </c>
    </row>
    <row r="36" spans="1:36">
      <c r="A36" t="s">
        <v>94</v>
      </c>
      <c r="B36">
        <v>2013</v>
      </c>
      <c r="C36" t="s">
        <v>35</v>
      </c>
      <c r="D36">
        <v>120.5</v>
      </c>
      <c r="E36">
        <v>118.1</v>
      </c>
      <c r="F36">
        <v>128.5</v>
      </c>
      <c r="G36">
        <v>112.8</v>
      </c>
      <c r="H36">
        <v>103.4</v>
      </c>
      <c r="I36">
        <v>110.7</v>
      </c>
      <c r="J36">
        <v>144.80000000000001</v>
      </c>
      <c r="K36">
        <v>107.1</v>
      </c>
      <c r="L36">
        <v>98.6</v>
      </c>
      <c r="M36">
        <v>111.9</v>
      </c>
      <c r="N36">
        <v>112.1</v>
      </c>
      <c r="O36">
        <v>118.1</v>
      </c>
      <c r="P36" s="1">
        <f t="shared" si="0"/>
        <v>1392.3</v>
      </c>
      <c r="Q36">
        <v>117.8</v>
      </c>
      <c r="R36">
        <v>115</v>
      </c>
      <c r="S36" s="1">
        <f t="shared" si="1"/>
        <v>443.7</v>
      </c>
      <c r="T36">
        <v>114.2</v>
      </c>
      <c r="U36">
        <v>110.9</v>
      </c>
      <c r="V36" s="1">
        <f t="shared" si="2"/>
        <v>338.8</v>
      </c>
      <c r="W36">
        <v>113.7</v>
      </c>
      <c r="X36">
        <v>110.7</v>
      </c>
      <c r="Y36" s="1">
        <f t="shared" si="3"/>
        <v>222</v>
      </c>
      <c r="Z36">
        <v>110.4</v>
      </c>
      <c r="AA36">
        <v>111.3</v>
      </c>
      <c r="AB36">
        <v>109</v>
      </c>
      <c r="AC36">
        <v>109.7</v>
      </c>
      <c r="AD36">
        <v>108.9</v>
      </c>
      <c r="AE36">
        <v>111.4</v>
      </c>
      <c r="AF36">
        <v>107.7</v>
      </c>
      <c r="AG36">
        <v>109.8</v>
      </c>
      <c r="AH36">
        <v>113.3</v>
      </c>
      <c r="AI36">
        <f>SUM('Cleaned Data'!AC36,'Cleaned Data'!AE36,'Cleaned Data'!Z36,'Cleaned Data'!AA36)</f>
        <v>442.8</v>
      </c>
      <c r="AJ36" s="1">
        <f t="shared" si="4"/>
        <v>110.70000000000002</v>
      </c>
    </row>
    <row r="37" spans="1:36">
      <c r="A37" t="s">
        <v>6</v>
      </c>
      <c r="B37">
        <v>2013</v>
      </c>
      <c r="C37" t="s">
        <v>35</v>
      </c>
      <c r="D37">
        <v>119.1</v>
      </c>
      <c r="E37">
        <v>116.7</v>
      </c>
      <c r="F37">
        <v>123.5</v>
      </c>
      <c r="G37">
        <v>113.4</v>
      </c>
      <c r="H37">
        <v>107.3</v>
      </c>
      <c r="I37">
        <v>113.3</v>
      </c>
      <c r="J37">
        <v>145.4</v>
      </c>
      <c r="K37">
        <v>108.7</v>
      </c>
      <c r="L37">
        <v>101.5</v>
      </c>
      <c r="M37">
        <v>110.5</v>
      </c>
      <c r="N37">
        <v>112.1</v>
      </c>
      <c r="O37">
        <v>117.4</v>
      </c>
      <c r="P37" s="1">
        <f t="shared" si="0"/>
        <v>1395.2</v>
      </c>
      <c r="Q37">
        <v>118.4</v>
      </c>
      <c r="R37">
        <v>114</v>
      </c>
      <c r="S37" s="1">
        <f t="shared" si="1"/>
        <v>443</v>
      </c>
      <c r="T37">
        <v>115.2</v>
      </c>
      <c r="U37">
        <v>112.7</v>
      </c>
      <c r="V37" s="1">
        <f t="shared" si="2"/>
        <v>342.7</v>
      </c>
      <c r="W37">
        <v>114.8</v>
      </c>
      <c r="X37">
        <v>110.7</v>
      </c>
      <c r="Y37" s="1">
        <f t="shared" si="3"/>
        <v>222.4</v>
      </c>
      <c r="Z37">
        <v>111.9</v>
      </c>
      <c r="AA37">
        <v>111.7</v>
      </c>
      <c r="AB37">
        <v>109.7</v>
      </c>
      <c r="AC37">
        <v>109.8</v>
      </c>
      <c r="AD37">
        <v>109</v>
      </c>
      <c r="AE37">
        <v>111.5</v>
      </c>
      <c r="AF37">
        <v>107.9</v>
      </c>
      <c r="AG37">
        <v>110</v>
      </c>
      <c r="AH37">
        <v>114.5</v>
      </c>
      <c r="AI37">
        <f>SUM('Cleaned Data'!AC37,'Cleaned Data'!AE37,'Cleaned Data'!Z37,'Cleaned Data'!AA37)</f>
        <v>444.90000000000003</v>
      </c>
      <c r="AJ37" s="1">
        <f t="shared" si="4"/>
        <v>111.22499999999999</v>
      </c>
    </row>
    <row r="38" spans="1:36">
      <c r="A38" t="s">
        <v>93</v>
      </c>
      <c r="B38">
        <v>2014</v>
      </c>
      <c r="C38" t="s">
        <v>11</v>
      </c>
      <c r="D38">
        <v>118.9</v>
      </c>
      <c r="E38">
        <v>117.1</v>
      </c>
      <c r="F38">
        <v>120.5</v>
      </c>
      <c r="G38">
        <v>114.4</v>
      </c>
      <c r="H38">
        <v>109</v>
      </c>
      <c r="I38">
        <v>115.5</v>
      </c>
      <c r="J38">
        <v>123.9</v>
      </c>
      <c r="K38">
        <v>109.6</v>
      </c>
      <c r="L38">
        <v>101.8</v>
      </c>
      <c r="M38">
        <v>110.2</v>
      </c>
      <c r="N38">
        <v>112.4</v>
      </c>
      <c r="O38">
        <v>117.3</v>
      </c>
      <c r="P38" s="1">
        <f t="shared" si="0"/>
        <v>1374.2</v>
      </c>
      <c r="Q38">
        <v>116</v>
      </c>
      <c r="R38">
        <v>114</v>
      </c>
      <c r="S38" s="1">
        <f t="shared" si="1"/>
        <v>444.3</v>
      </c>
      <c r="T38">
        <v>116.5</v>
      </c>
      <c r="U38">
        <v>114.5</v>
      </c>
      <c r="V38" s="1">
        <f t="shared" si="2"/>
        <v>347.2</v>
      </c>
      <c r="W38">
        <v>116.2</v>
      </c>
      <c r="X38">
        <v>111.6</v>
      </c>
      <c r="Y38" s="1">
        <f t="shared" si="3"/>
        <v>224.2</v>
      </c>
      <c r="Z38">
        <v>113</v>
      </c>
      <c r="AA38">
        <v>112.6</v>
      </c>
      <c r="AB38">
        <v>110.6</v>
      </c>
      <c r="AC38">
        <v>110.5</v>
      </c>
      <c r="AD38">
        <v>109.6</v>
      </c>
      <c r="AE38">
        <v>111.8</v>
      </c>
      <c r="AF38">
        <v>108.3</v>
      </c>
      <c r="AG38">
        <v>110.6</v>
      </c>
      <c r="AH38">
        <v>114.2</v>
      </c>
      <c r="AI38">
        <f>SUM('Cleaned Data'!AC38,'Cleaned Data'!AE38,'Cleaned Data'!Z38,'Cleaned Data'!AA38)</f>
        <v>447.9</v>
      </c>
      <c r="AJ38" s="1">
        <f t="shared" si="4"/>
        <v>111.97499999999999</v>
      </c>
    </row>
    <row r="39" spans="1:36">
      <c r="A39" t="s">
        <v>94</v>
      </c>
      <c r="B39">
        <v>2014</v>
      </c>
      <c r="C39" t="s">
        <v>11</v>
      </c>
      <c r="D39">
        <v>121.2</v>
      </c>
      <c r="E39">
        <v>122</v>
      </c>
      <c r="F39">
        <v>129.9</v>
      </c>
      <c r="G39">
        <v>113.6</v>
      </c>
      <c r="H39">
        <v>102.9</v>
      </c>
      <c r="I39">
        <v>112.1</v>
      </c>
      <c r="J39">
        <v>118.9</v>
      </c>
      <c r="K39">
        <v>107.5</v>
      </c>
      <c r="L39">
        <v>96.9</v>
      </c>
      <c r="M39">
        <v>112.7</v>
      </c>
      <c r="N39">
        <v>112.1</v>
      </c>
      <c r="O39">
        <v>119</v>
      </c>
      <c r="P39" s="1">
        <f t="shared" si="0"/>
        <v>1372.2</v>
      </c>
      <c r="Q39">
        <v>115.5</v>
      </c>
      <c r="R39">
        <v>115.7</v>
      </c>
      <c r="S39" s="1">
        <f t="shared" si="1"/>
        <v>445.6</v>
      </c>
      <c r="T39">
        <v>114.8</v>
      </c>
      <c r="U39">
        <v>111.3</v>
      </c>
      <c r="V39" s="1">
        <f t="shared" si="2"/>
        <v>340.4</v>
      </c>
      <c r="W39">
        <v>114.3</v>
      </c>
      <c r="X39">
        <v>111.6</v>
      </c>
      <c r="Y39" s="1">
        <f t="shared" si="3"/>
        <v>223.5</v>
      </c>
      <c r="Z39">
        <v>111</v>
      </c>
      <c r="AA39">
        <v>111.9</v>
      </c>
      <c r="AB39">
        <v>109.7</v>
      </c>
      <c r="AC39">
        <v>110.8</v>
      </c>
      <c r="AD39">
        <v>109.8</v>
      </c>
      <c r="AE39">
        <v>111.5</v>
      </c>
      <c r="AF39">
        <v>108</v>
      </c>
      <c r="AG39">
        <v>110.5</v>
      </c>
      <c r="AH39">
        <v>112.9</v>
      </c>
      <c r="AI39">
        <f>SUM('Cleaned Data'!AC39,'Cleaned Data'!AE39,'Cleaned Data'!Z39,'Cleaned Data'!AA39)</f>
        <v>445.20000000000005</v>
      </c>
      <c r="AJ39" s="1">
        <f t="shared" si="4"/>
        <v>111.30000000000001</v>
      </c>
    </row>
    <row r="40" spans="1:36">
      <c r="A40" t="s">
        <v>6</v>
      </c>
      <c r="B40">
        <v>2014</v>
      </c>
      <c r="C40" t="s">
        <v>11</v>
      </c>
      <c r="D40">
        <v>119.6</v>
      </c>
      <c r="E40">
        <v>118.8</v>
      </c>
      <c r="F40">
        <v>124.1</v>
      </c>
      <c r="G40">
        <v>114.1</v>
      </c>
      <c r="H40">
        <v>106.8</v>
      </c>
      <c r="I40">
        <v>113.9</v>
      </c>
      <c r="J40">
        <v>122.2</v>
      </c>
      <c r="K40">
        <v>108.9</v>
      </c>
      <c r="L40">
        <v>100.2</v>
      </c>
      <c r="M40">
        <v>111</v>
      </c>
      <c r="N40">
        <v>112.3</v>
      </c>
      <c r="O40">
        <v>118.1</v>
      </c>
      <c r="P40" s="1">
        <f t="shared" si="0"/>
        <v>1373.5</v>
      </c>
      <c r="Q40">
        <v>115.8</v>
      </c>
      <c r="R40">
        <v>114.5</v>
      </c>
      <c r="S40" s="1">
        <f t="shared" si="1"/>
        <v>444.7</v>
      </c>
      <c r="T40">
        <v>115.8</v>
      </c>
      <c r="U40">
        <v>113.2</v>
      </c>
      <c r="V40" s="1">
        <f t="shared" si="2"/>
        <v>344.4</v>
      </c>
      <c r="W40">
        <v>115.4</v>
      </c>
      <c r="X40">
        <v>111.6</v>
      </c>
      <c r="Y40" s="1">
        <f t="shared" si="3"/>
        <v>223.89999999999998</v>
      </c>
      <c r="Z40">
        <v>112.2</v>
      </c>
      <c r="AA40">
        <v>112.3</v>
      </c>
      <c r="AB40">
        <v>110.3</v>
      </c>
      <c r="AC40">
        <v>110.7</v>
      </c>
      <c r="AD40">
        <v>109.7</v>
      </c>
      <c r="AE40">
        <v>111.6</v>
      </c>
      <c r="AF40">
        <v>108.2</v>
      </c>
      <c r="AG40">
        <v>110.6</v>
      </c>
      <c r="AH40">
        <v>113.6</v>
      </c>
      <c r="AI40">
        <f>SUM('Cleaned Data'!AC40,'Cleaned Data'!AE40,'Cleaned Data'!Z40,'Cleaned Data'!AA40)</f>
        <v>446.8</v>
      </c>
      <c r="AJ40" s="1">
        <f t="shared" si="4"/>
        <v>111.7</v>
      </c>
    </row>
    <row r="41" spans="1:36">
      <c r="A41" t="s">
        <v>93</v>
      </c>
      <c r="B41">
        <v>2014</v>
      </c>
      <c r="C41" t="s">
        <v>14</v>
      </c>
      <c r="D41">
        <v>119.4</v>
      </c>
      <c r="E41">
        <v>117.7</v>
      </c>
      <c r="F41">
        <v>121.2</v>
      </c>
      <c r="G41">
        <v>115</v>
      </c>
      <c r="H41">
        <v>109</v>
      </c>
      <c r="I41">
        <v>116.6</v>
      </c>
      <c r="J41">
        <v>116</v>
      </c>
      <c r="K41">
        <v>109.8</v>
      </c>
      <c r="L41">
        <v>101.1</v>
      </c>
      <c r="M41">
        <v>110.4</v>
      </c>
      <c r="N41">
        <v>112.9</v>
      </c>
      <c r="O41">
        <v>117.8</v>
      </c>
      <c r="P41" s="1">
        <f t="shared" si="0"/>
        <v>1369.3</v>
      </c>
      <c r="Q41">
        <v>115.3</v>
      </c>
      <c r="R41">
        <v>114.2</v>
      </c>
      <c r="S41" s="1">
        <f t="shared" si="1"/>
        <v>445.7</v>
      </c>
      <c r="T41">
        <v>117.1</v>
      </c>
      <c r="U41">
        <v>114.5</v>
      </c>
      <c r="V41" s="1">
        <f t="shared" si="2"/>
        <v>348.3</v>
      </c>
      <c r="W41">
        <v>116.7</v>
      </c>
      <c r="X41">
        <v>112.5</v>
      </c>
      <c r="Y41" s="1">
        <f t="shared" si="3"/>
        <v>225.4</v>
      </c>
      <c r="Z41">
        <v>113.2</v>
      </c>
      <c r="AA41">
        <v>112.9</v>
      </c>
      <c r="AB41">
        <v>110.9</v>
      </c>
      <c r="AC41">
        <v>110.8</v>
      </c>
      <c r="AD41">
        <v>109.9</v>
      </c>
      <c r="AE41">
        <v>112</v>
      </c>
      <c r="AF41">
        <v>108.7</v>
      </c>
      <c r="AG41">
        <v>110.9</v>
      </c>
      <c r="AH41">
        <v>114</v>
      </c>
      <c r="AI41">
        <f>SUM('Cleaned Data'!AC41,'Cleaned Data'!AE41,'Cleaned Data'!Z41,'Cleaned Data'!AA41)</f>
        <v>448.9</v>
      </c>
      <c r="AJ41" s="1">
        <f t="shared" si="4"/>
        <v>112.22500000000001</v>
      </c>
    </row>
    <row r="42" spans="1:36">
      <c r="A42" t="s">
        <v>94</v>
      </c>
      <c r="B42">
        <v>2014</v>
      </c>
      <c r="C42" t="s">
        <v>14</v>
      </c>
      <c r="D42">
        <v>121.9</v>
      </c>
      <c r="E42">
        <v>122</v>
      </c>
      <c r="F42">
        <v>124.5</v>
      </c>
      <c r="G42">
        <v>115.2</v>
      </c>
      <c r="H42">
        <v>102.5</v>
      </c>
      <c r="I42">
        <v>114.1</v>
      </c>
      <c r="J42">
        <v>111.5</v>
      </c>
      <c r="K42">
        <v>108.2</v>
      </c>
      <c r="L42">
        <v>95.4</v>
      </c>
      <c r="M42">
        <v>113.5</v>
      </c>
      <c r="N42">
        <v>112.1</v>
      </c>
      <c r="O42">
        <v>119.9</v>
      </c>
      <c r="P42" s="1">
        <f t="shared" si="0"/>
        <v>1363.9000000000003</v>
      </c>
      <c r="Q42">
        <v>115.2</v>
      </c>
      <c r="R42">
        <v>116.2</v>
      </c>
      <c r="S42" s="1">
        <f t="shared" si="1"/>
        <v>447.3</v>
      </c>
      <c r="T42">
        <v>115.3</v>
      </c>
      <c r="U42">
        <v>111.7</v>
      </c>
      <c r="V42" s="1">
        <f t="shared" si="2"/>
        <v>341.7</v>
      </c>
      <c r="W42">
        <v>114.7</v>
      </c>
      <c r="X42">
        <v>112.5</v>
      </c>
      <c r="Y42" s="1">
        <f t="shared" si="3"/>
        <v>225.1</v>
      </c>
      <c r="Z42">
        <v>111.1</v>
      </c>
      <c r="AA42">
        <v>112.6</v>
      </c>
      <c r="AB42">
        <v>110.4</v>
      </c>
      <c r="AC42">
        <v>111.3</v>
      </c>
      <c r="AD42">
        <v>110.3</v>
      </c>
      <c r="AE42">
        <v>111.6</v>
      </c>
      <c r="AF42">
        <v>108.7</v>
      </c>
      <c r="AG42">
        <v>111</v>
      </c>
      <c r="AH42">
        <v>113.1</v>
      </c>
      <c r="AI42">
        <f>SUM('Cleaned Data'!AC42,'Cleaned Data'!AE42,'Cleaned Data'!Z42,'Cleaned Data'!AA42)</f>
        <v>446.6</v>
      </c>
      <c r="AJ42" s="1">
        <f t="shared" si="4"/>
        <v>111.65</v>
      </c>
    </row>
    <row r="43" spans="1:36">
      <c r="A43" t="s">
        <v>6</v>
      </c>
      <c r="B43">
        <v>2014</v>
      </c>
      <c r="C43" t="s">
        <v>14</v>
      </c>
      <c r="D43">
        <v>120.2</v>
      </c>
      <c r="E43">
        <v>119.2</v>
      </c>
      <c r="F43">
        <v>122.5</v>
      </c>
      <c r="G43">
        <v>115.1</v>
      </c>
      <c r="H43">
        <v>106.6</v>
      </c>
      <c r="I43">
        <v>115.4</v>
      </c>
      <c r="J43">
        <v>114.5</v>
      </c>
      <c r="K43">
        <v>109.3</v>
      </c>
      <c r="L43">
        <v>99.2</v>
      </c>
      <c r="M43">
        <v>111.4</v>
      </c>
      <c r="N43">
        <v>112.6</v>
      </c>
      <c r="O43">
        <v>118.8</v>
      </c>
      <c r="P43" s="1">
        <f t="shared" si="0"/>
        <v>1367.5</v>
      </c>
      <c r="Q43">
        <v>115.3</v>
      </c>
      <c r="R43">
        <v>114.7</v>
      </c>
      <c r="S43" s="1">
        <f t="shared" si="1"/>
        <v>446.09999999999997</v>
      </c>
      <c r="T43">
        <v>116.4</v>
      </c>
      <c r="U43">
        <v>113.3</v>
      </c>
      <c r="V43" s="1">
        <f t="shared" si="2"/>
        <v>345.6</v>
      </c>
      <c r="W43">
        <v>115.9</v>
      </c>
      <c r="X43">
        <v>112.5</v>
      </c>
      <c r="Y43" s="1">
        <f t="shared" si="3"/>
        <v>225.3</v>
      </c>
      <c r="Z43">
        <v>112.4</v>
      </c>
      <c r="AA43">
        <v>112.8</v>
      </c>
      <c r="AB43">
        <v>110.7</v>
      </c>
      <c r="AC43">
        <v>111.1</v>
      </c>
      <c r="AD43">
        <v>110.1</v>
      </c>
      <c r="AE43">
        <v>111.8</v>
      </c>
      <c r="AF43">
        <v>108.7</v>
      </c>
      <c r="AG43">
        <v>110.9</v>
      </c>
      <c r="AH43">
        <v>113.6</v>
      </c>
      <c r="AI43">
        <f>SUM('Cleaned Data'!AC43,'Cleaned Data'!AE43,'Cleaned Data'!Z43,'Cleaned Data'!AA43)</f>
        <v>448.09999999999997</v>
      </c>
      <c r="AJ43" s="1">
        <f t="shared" si="4"/>
        <v>112.02500000000001</v>
      </c>
    </row>
    <row r="44" spans="1:36">
      <c r="A44" t="s">
        <v>93</v>
      </c>
      <c r="B44">
        <v>2014</v>
      </c>
      <c r="C44" t="s">
        <v>17</v>
      </c>
      <c r="D44">
        <v>120.1</v>
      </c>
      <c r="E44">
        <v>118.1</v>
      </c>
      <c r="F44">
        <v>120.7</v>
      </c>
      <c r="G44">
        <v>116.1</v>
      </c>
      <c r="H44">
        <v>109.3</v>
      </c>
      <c r="I44">
        <v>119.6</v>
      </c>
      <c r="J44">
        <v>117.9</v>
      </c>
      <c r="K44">
        <v>110.2</v>
      </c>
      <c r="L44">
        <v>101.2</v>
      </c>
      <c r="M44">
        <v>110.7</v>
      </c>
      <c r="N44">
        <v>113</v>
      </c>
      <c r="O44">
        <v>118.3</v>
      </c>
      <c r="P44" s="1">
        <f t="shared" si="0"/>
        <v>1378.3999999999999</v>
      </c>
      <c r="Q44">
        <v>116.2</v>
      </c>
      <c r="R44">
        <v>114.6</v>
      </c>
      <c r="S44" s="1">
        <f t="shared" si="1"/>
        <v>446.70000000000005</v>
      </c>
      <c r="T44">
        <v>117.5</v>
      </c>
      <c r="U44">
        <v>114.9</v>
      </c>
      <c r="V44" s="1">
        <f t="shared" si="2"/>
        <v>349.6</v>
      </c>
      <c r="W44">
        <v>117.2</v>
      </c>
      <c r="X44">
        <v>113.2</v>
      </c>
      <c r="Y44" s="1">
        <f t="shared" si="3"/>
        <v>226.60000000000002</v>
      </c>
      <c r="Z44">
        <v>113.4</v>
      </c>
      <c r="AA44">
        <v>113.4</v>
      </c>
      <c r="AB44">
        <v>111.4</v>
      </c>
      <c r="AC44">
        <v>111.2</v>
      </c>
      <c r="AD44">
        <v>110.2</v>
      </c>
      <c r="AE44">
        <v>112.4</v>
      </c>
      <c r="AF44">
        <v>108.9</v>
      </c>
      <c r="AG44">
        <v>111.3</v>
      </c>
      <c r="AH44">
        <v>114.6</v>
      </c>
      <c r="AI44">
        <f>SUM('Cleaned Data'!AC44,'Cleaned Data'!AE44,'Cleaned Data'!Z44,'Cleaned Data'!AA44)</f>
        <v>450.4</v>
      </c>
      <c r="AJ44" s="1">
        <f t="shared" si="4"/>
        <v>112.6</v>
      </c>
    </row>
    <row r="45" spans="1:36">
      <c r="A45" t="s">
        <v>94</v>
      </c>
      <c r="B45">
        <v>2014</v>
      </c>
      <c r="C45" t="s">
        <v>17</v>
      </c>
      <c r="D45">
        <v>122.1</v>
      </c>
      <c r="E45">
        <v>121.4</v>
      </c>
      <c r="F45">
        <v>121.5</v>
      </c>
      <c r="G45">
        <v>116.2</v>
      </c>
      <c r="H45">
        <v>102.8</v>
      </c>
      <c r="I45">
        <v>117.7</v>
      </c>
      <c r="J45">
        <v>113.3</v>
      </c>
      <c r="K45">
        <v>108.9</v>
      </c>
      <c r="L45">
        <v>96.3</v>
      </c>
      <c r="M45">
        <v>114.1</v>
      </c>
      <c r="N45">
        <v>112.2</v>
      </c>
      <c r="O45">
        <v>120.5</v>
      </c>
      <c r="P45" s="1">
        <f t="shared" si="0"/>
        <v>1370.8</v>
      </c>
      <c r="Q45">
        <v>116</v>
      </c>
      <c r="R45">
        <v>116.7</v>
      </c>
      <c r="S45" s="1">
        <f t="shared" si="1"/>
        <v>449</v>
      </c>
      <c r="T45">
        <v>115.8</v>
      </c>
      <c r="U45">
        <v>112.1</v>
      </c>
      <c r="V45" s="1">
        <f t="shared" si="2"/>
        <v>343.09999999999997</v>
      </c>
      <c r="W45">
        <v>115.2</v>
      </c>
      <c r="X45">
        <v>113.2</v>
      </c>
      <c r="Y45" s="1">
        <f t="shared" si="3"/>
        <v>226.2</v>
      </c>
      <c r="Z45">
        <v>110.9</v>
      </c>
      <c r="AA45">
        <v>113</v>
      </c>
      <c r="AB45">
        <v>110.8</v>
      </c>
      <c r="AC45">
        <v>111.6</v>
      </c>
      <c r="AD45">
        <v>110.9</v>
      </c>
      <c r="AE45">
        <v>111.8</v>
      </c>
      <c r="AF45">
        <v>109.2</v>
      </c>
      <c r="AG45">
        <v>111.4</v>
      </c>
      <c r="AH45">
        <v>113.7</v>
      </c>
      <c r="AI45">
        <f>SUM('Cleaned Data'!AC45,'Cleaned Data'!AE45,'Cleaned Data'!Z45,'Cleaned Data'!AA45)</f>
        <v>447.29999999999995</v>
      </c>
      <c r="AJ45" s="1">
        <f t="shared" si="4"/>
        <v>111.82499999999999</v>
      </c>
    </row>
    <row r="46" spans="1:36">
      <c r="A46" t="s">
        <v>6</v>
      </c>
      <c r="B46">
        <v>2014</v>
      </c>
      <c r="C46" t="s">
        <v>17</v>
      </c>
      <c r="D46">
        <v>120.7</v>
      </c>
      <c r="E46">
        <v>119.3</v>
      </c>
      <c r="F46">
        <v>121</v>
      </c>
      <c r="G46">
        <v>116.1</v>
      </c>
      <c r="H46">
        <v>106.9</v>
      </c>
      <c r="I46">
        <v>118.7</v>
      </c>
      <c r="J46">
        <v>116.3</v>
      </c>
      <c r="K46">
        <v>109.8</v>
      </c>
      <c r="L46">
        <v>99.6</v>
      </c>
      <c r="M46">
        <v>111.8</v>
      </c>
      <c r="N46">
        <v>112.7</v>
      </c>
      <c r="O46">
        <v>119.3</v>
      </c>
      <c r="P46" s="1">
        <f t="shared" si="0"/>
        <v>1375.6</v>
      </c>
      <c r="Q46">
        <v>116.1</v>
      </c>
      <c r="R46">
        <v>115.2</v>
      </c>
      <c r="S46" s="1">
        <f t="shared" si="1"/>
        <v>447.5</v>
      </c>
      <c r="T46">
        <v>116.8</v>
      </c>
      <c r="U46">
        <v>113.7</v>
      </c>
      <c r="V46" s="1">
        <f t="shared" si="2"/>
        <v>346.9</v>
      </c>
      <c r="W46">
        <v>116.4</v>
      </c>
      <c r="X46">
        <v>113.2</v>
      </c>
      <c r="Y46" s="1">
        <f t="shared" si="3"/>
        <v>226.4</v>
      </c>
      <c r="Z46">
        <v>112.5</v>
      </c>
      <c r="AA46">
        <v>113.2</v>
      </c>
      <c r="AB46">
        <v>111.2</v>
      </c>
      <c r="AC46">
        <v>111.4</v>
      </c>
      <c r="AD46">
        <v>110.6</v>
      </c>
      <c r="AE46">
        <v>112</v>
      </c>
      <c r="AF46">
        <v>109</v>
      </c>
      <c r="AG46">
        <v>111.3</v>
      </c>
      <c r="AH46">
        <v>114.2</v>
      </c>
      <c r="AI46">
        <f>SUM('Cleaned Data'!AC46,'Cleaned Data'!AE46,'Cleaned Data'!Z46,'Cleaned Data'!AA46)</f>
        <v>449.09999999999997</v>
      </c>
      <c r="AJ46" s="1">
        <f t="shared" si="4"/>
        <v>112.27500000000001</v>
      </c>
    </row>
    <row r="47" spans="1:36">
      <c r="A47" t="s">
        <v>93</v>
      </c>
      <c r="B47">
        <v>2014</v>
      </c>
      <c r="C47" t="s">
        <v>19</v>
      </c>
      <c r="D47">
        <v>120.2</v>
      </c>
      <c r="E47">
        <v>118.9</v>
      </c>
      <c r="F47">
        <v>118.1</v>
      </c>
      <c r="G47">
        <v>117</v>
      </c>
      <c r="H47">
        <v>109.7</v>
      </c>
      <c r="I47">
        <v>125.5</v>
      </c>
      <c r="J47">
        <v>120.5</v>
      </c>
      <c r="K47">
        <v>111</v>
      </c>
      <c r="L47">
        <v>102.6</v>
      </c>
      <c r="M47">
        <v>111.2</v>
      </c>
      <c r="N47">
        <v>113.5</v>
      </c>
      <c r="O47">
        <v>118.7</v>
      </c>
      <c r="P47" s="1">
        <f t="shared" si="0"/>
        <v>1390.6000000000001</v>
      </c>
      <c r="Q47">
        <v>117.2</v>
      </c>
      <c r="R47">
        <v>115.4</v>
      </c>
      <c r="S47" s="1">
        <f t="shared" si="1"/>
        <v>448.29999999999995</v>
      </c>
      <c r="T47">
        <v>118.1</v>
      </c>
      <c r="U47">
        <v>116.1</v>
      </c>
      <c r="V47" s="1">
        <f t="shared" si="2"/>
        <v>352</v>
      </c>
      <c r="W47">
        <v>117.8</v>
      </c>
      <c r="X47">
        <v>113.9</v>
      </c>
      <c r="Y47" s="1">
        <f t="shared" si="3"/>
        <v>227.60000000000002</v>
      </c>
      <c r="Z47">
        <v>113.4</v>
      </c>
      <c r="AA47">
        <v>113.7</v>
      </c>
      <c r="AB47">
        <v>111.8</v>
      </c>
      <c r="AC47">
        <v>111.2</v>
      </c>
      <c r="AD47">
        <v>110.5</v>
      </c>
      <c r="AE47">
        <v>113</v>
      </c>
      <c r="AF47">
        <v>108.9</v>
      </c>
      <c r="AG47">
        <v>111.5</v>
      </c>
      <c r="AH47">
        <v>115.4</v>
      </c>
      <c r="AI47">
        <f>SUM('Cleaned Data'!AC47,'Cleaned Data'!AE47,'Cleaned Data'!Z47,'Cleaned Data'!AA47)</f>
        <v>451.3</v>
      </c>
      <c r="AJ47" s="1">
        <f t="shared" si="4"/>
        <v>112.82499999999999</v>
      </c>
    </row>
    <row r="48" spans="1:36">
      <c r="A48" t="s">
        <v>94</v>
      </c>
      <c r="B48">
        <v>2014</v>
      </c>
      <c r="C48" t="s">
        <v>19</v>
      </c>
      <c r="D48">
        <v>122.5</v>
      </c>
      <c r="E48">
        <v>121.7</v>
      </c>
      <c r="F48">
        <v>113.3</v>
      </c>
      <c r="G48">
        <v>117</v>
      </c>
      <c r="H48">
        <v>103.1</v>
      </c>
      <c r="I48">
        <v>126.7</v>
      </c>
      <c r="J48">
        <v>121.2</v>
      </c>
      <c r="K48">
        <v>111</v>
      </c>
      <c r="L48">
        <v>100.3</v>
      </c>
      <c r="M48">
        <v>115.3</v>
      </c>
      <c r="N48">
        <v>112.7</v>
      </c>
      <c r="O48">
        <v>121</v>
      </c>
      <c r="P48" s="1">
        <f t="shared" si="0"/>
        <v>1391.3000000000002</v>
      </c>
      <c r="Q48">
        <v>118.2</v>
      </c>
      <c r="R48">
        <v>117.6</v>
      </c>
      <c r="S48" s="1">
        <f t="shared" si="1"/>
        <v>450.6</v>
      </c>
      <c r="T48">
        <v>116.3</v>
      </c>
      <c r="U48">
        <v>112.5</v>
      </c>
      <c r="V48" s="1">
        <f t="shared" si="2"/>
        <v>344.5</v>
      </c>
      <c r="W48">
        <v>115.7</v>
      </c>
      <c r="X48">
        <v>113.9</v>
      </c>
      <c r="Y48" s="1">
        <f t="shared" si="3"/>
        <v>227.3</v>
      </c>
      <c r="Z48">
        <v>110.9</v>
      </c>
      <c r="AA48">
        <v>113.4</v>
      </c>
      <c r="AB48">
        <v>111</v>
      </c>
      <c r="AC48">
        <v>111.2</v>
      </c>
      <c r="AD48">
        <v>111.2</v>
      </c>
      <c r="AE48">
        <v>112.5</v>
      </c>
      <c r="AF48">
        <v>109.1</v>
      </c>
      <c r="AG48">
        <v>111.4</v>
      </c>
      <c r="AH48">
        <v>114.7</v>
      </c>
      <c r="AI48">
        <f>SUM('Cleaned Data'!AC48,'Cleaned Data'!AE48,'Cleaned Data'!Z48,'Cleaned Data'!AA48)</f>
        <v>448</v>
      </c>
      <c r="AJ48" s="1">
        <f t="shared" si="4"/>
        <v>112</v>
      </c>
    </row>
    <row r="49" spans="1:36">
      <c r="A49" t="s">
        <v>6</v>
      </c>
      <c r="B49">
        <v>2014</v>
      </c>
      <c r="C49" t="s">
        <v>19</v>
      </c>
      <c r="D49">
        <v>120.9</v>
      </c>
      <c r="E49">
        <v>119.9</v>
      </c>
      <c r="F49">
        <v>116.2</v>
      </c>
      <c r="G49">
        <v>117</v>
      </c>
      <c r="H49">
        <v>107.3</v>
      </c>
      <c r="I49">
        <v>126.1</v>
      </c>
      <c r="J49">
        <v>120.7</v>
      </c>
      <c r="K49">
        <v>111</v>
      </c>
      <c r="L49">
        <v>101.8</v>
      </c>
      <c r="M49">
        <v>112.6</v>
      </c>
      <c r="N49">
        <v>113.2</v>
      </c>
      <c r="O49">
        <v>119.8</v>
      </c>
      <c r="P49" s="1">
        <f t="shared" si="0"/>
        <v>1390.9</v>
      </c>
      <c r="Q49">
        <v>117.6</v>
      </c>
      <c r="R49">
        <v>116</v>
      </c>
      <c r="S49" s="1">
        <f t="shared" si="1"/>
        <v>449.1</v>
      </c>
      <c r="T49">
        <v>117.4</v>
      </c>
      <c r="U49">
        <v>114.6</v>
      </c>
      <c r="V49" s="1">
        <f t="shared" si="2"/>
        <v>349</v>
      </c>
      <c r="W49">
        <v>117</v>
      </c>
      <c r="X49">
        <v>113.9</v>
      </c>
      <c r="Y49" s="1">
        <f t="shared" si="3"/>
        <v>227.5</v>
      </c>
      <c r="Z49">
        <v>112.5</v>
      </c>
      <c r="AA49">
        <v>113.6</v>
      </c>
      <c r="AB49">
        <v>111.5</v>
      </c>
      <c r="AC49">
        <v>111.2</v>
      </c>
      <c r="AD49">
        <v>110.9</v>
      </c>
      <c r="AE49">
        <v>112.7</v>
      </c>
      <c r="AF49">
        <v>109</v>
      </c>
      <c r="AG49">
        <v>111.5</v>
      </c>
      <c r="AH49">
        <v>115.1</v>
      </c>
      <c r="AI49">
        <f>SUM('Cleaned Data'!AC49,'Cleaned Data'!AE49,'Cleaned Data'!Z49,'Cleaned Data'!AA49)</f>
        <v>450</v>
      </c>
      <c r="AJ49" s="1">
        <f t="shared" si="4"/>
        <v>112.5</v>
      </c>
    </row>
    <row r="50" spans="1:36">
      <c r="A50" t="s">
        <v>93</v>
      </c>
      <c r="B50">
        <v>2014</v>
      </c>
      <c r="C50" t="s">
        <v>21</v>
      </c>
      <c r="D50">
        <v>120.3</v>
      </c>
      <c r="E50">
        <v>120.2</v>
      </c>
      <c r="F50">
        <v>116.9</v>
      </c>
      <c r="G50">
        <v>118</v>
      </c>
      <c r="H50">
        <v>110.1</v>
      </c>
      <c r="I50">
        <v>126.3</v>
      </c>
      <c r="J50">
        <v>123.9</v>
      </c>
      <c r="K50">
        <v>111.5</v>
      </c>
      <c r="L50">
        <v>103.5</v>
      </c>
      <c r="M50">
        <v>111.6</v>
      </c>
      <c r="N50">
        <v>114.2</v>
      </c>
      <c r="O50">
        <v>119.2</v>
      </c>
      <c r="P50" s="1">
        <f t="shared" si="0"/>
        <v>1399.7</v>
      </c>
      <c r="Q50">
        <v>118.2</v>
      </c>
      <c r="R50">
        <v>116.3</v>
      </c>
      <c r="S50" s="1">
        <f t="shared" si="1"/>
        <v>450.29999999999995</v>
      </c>
      <c r="T50">
        <v>118.7</v>
      </c>
      <c r="U50">
        <v>116.8</v>
      </c>
      <c r="V50" s="1">
        <f t="shared" si="2"/>
        <v>354</v>
      </c>
      <c r="W50">
        <v>118.5</v>
      </c>
      <c r="X50">
        <v>114.3</v>
      </c>
      <c r="Y50" s="1">
        <f t="shared" si="3"/>
        <v>228.39999999999998</v>
      </c>
      <c r="Z50">
        <v>113.4</v>
      </c>
      <c r="AA50">
        <v>114.1</v>
      </c>
      <c r="AB50">
        <v>112.1</v>
      </c>
      <c r="AC50">
        <v>111.4</v>
      </c>
      <c r="AD50">
        <v>110.9</v>
      </c>
      <c r="AE50">
        <v>113.1</v>
      </c>
      <c r="AF50">
        <v>108.9</v>
      </c>
      <c r="AG50">
        <v>111.8</v>
      </c>
      <c r="AH50">
        <v>116</v>
      </c>
      <c r="AI50">
        <f>SUM('Cleaned Data'!AC50,'Cleaned Data'!AE50,'Cleaned Data'!Z50,'Cleaned Data'!AA50)</f>
        <v>452</v>
      </c>
      <c r="AJ50" s="1">
        <f t="shared" si="4"/>
        <v>113</v>
      </c>
    </row>
    <row r="51" spans="1:36">
      <c r="A51" t="s">
        <v>94</v>
      </c>
      <c r="B51">
        <v>2014</v>
      </c>
      <c r="C51" t="s">
        <v>21</v>
      </c>
      <c r="D51">
        <v>122.7</v>
      </c>
      <c r="E51">
        <v>124.1</v>
      </c>
      <c r="F51">
        <v>114.2</v>
      </c>
      <c r="G51">
        <v>119.1</v>
      </c>
      <c r="H51">
        <v>103.5</v>
      </c>
      <c r="I51">
        <v>129.19999999999999</v>
      </c>
      <c r="J51">
        <v>127</v>
      </c>
      <c r="K51">
        <v>112.6</v>
      </c>
      <c r="L51">
        <v>101.3</v>
      </c>
      <c r="M51">
        <v>117</v>
      </c>
      <c r="N51">
        <v>112.9</v>
      </c>
      <c r="O51">
        <v>121.7</v>
      </c>
      <c r="P51" s="1">
        <f t="shared" si="0"/>
        <v>1412.3999999999999</v>
      </c>
      <c r="Q51">
        <v>120</v>
      </c>
      <c r="R51">
        <v>118.3</v>
      </c>
      <c r="S51" s="1">
        <f t="shared" si="1"/>
        <v>452</v>
      </c>
      <c r="T51">
        <v>116.8</v>
      </c>
      <c r="U51">
        <v>112.9</v>
      </c>
      <c r="V51" s="1">
        <f t="shared" si="2"/>
        <v>345.9</v>
      </c>
      <c r="W51">
        <v>116.2</v>
      </c>
      <c r="X51">
        <v>114.3</v>
      </c>
      <c r="Y51" s="1">
        <f t="shared" si="3"/>
        <v>228.39999999999998</v>
      </c>
      <c r="Z51">
        <v>111.1</v>
      </c>
      <c r="AA51">
        <v>114.1</v>
      </c>
      <c r="AB51">
        <v>111.2</v>
      </c>
      <c r="AC51">
        <v>111.3</v>
      </c>
      <c r="AD51">
        <v>111.5</v>
      </c>
      <c r="AE51">
        <v>112.9</v>
      </c>
      <c r="AF51">
        <v>109.3</v>
      </c>
      <c r="AG51">
        <v>111.7</v>
      </c>
      <c r="AH51">
        <v>115.6</v>
      </c>
      <c r="AI51">
        <f>SUM('Cleaned Data'!AC51,'Cleaned Data'!AE51,'Cleaned Data'!Z51,'Cleaned Data'!AA51)</f>
        <v>449.4</v>
      </c>
      <c r="AJ51" s="1">
        <f t="shared" si="4"/>
        <v>112.35</v>
      </c>
    </row>
    <row r="52" spans="1:36">
      <c r="A52" t="s">
        <v>6</v>
      </c>
      <c r="B52">
        <v>2014</v>
      </c>
      <c r="C52" t="s">
        <v>21</v>
      </c>
      <c r="D52">
        <v>121.1</v>
      </c>
      <c r="E52">
        <v>121.6</v>
      </c>
      <c r="F52">
        <v>115.9</v>
      </c>
      <c r="G52">
        <v>118.4</v>
      </c>
      <c r="H52">
        <v>107.7</v>
      </c>
      <c r="I52">
        <v>127.7</v>
      </c>
      <c r="J52">
        <v>125</v>
      </c>
      <c r="K52">
        <v>111.9</v>
      </c>
      <c r="L52">
        <v>102.8</v>
      </c>
      <c r="M52">
        <v>113.4</v>
      </c>
      <c r="N52">
        <v>113.7</v>
      </c>
      <c r="O52">
        <v>120.4</v>
      </c>
      <c r="P52" s="1">
        <f t="shared" si="0"/>
        <v>1404.8</v>
      </c>
      <c r="Q52">
        <v>118.9</v>
      </c>
      <c r="R52">
        <v>116.8</v>
      </c>
      <c r="S52" s="1">
        <f t="shared" si="1"/>
        <v>450.79999999999995</v>
      </c>
      <c r="T52">
        <v>118</v>
      </c>
      <c r="U52">
        <v>115.2</v>
      </c>
      <c r="V52" s="1">
        <f t="shared" si="2"/>
        <v>350.79999999999995</v>
      </c>
      <c r="W52">
        <v>117.6</v>
      </c>
      <c r="X52">
        <v>114.3</v>
      </c>
      <c r="Y52" s="1">
        <f t="shared" si="3"/>
        <v>228.39999999999998</v>
      </c>
      <c r="Z52">
        <v>112.5</v>
      </c>
      <c r="AA52">
        <v>114.1</v>
      </c>
      <c r="AB52">
        <v>111.8</v>
      </c>
      <c r="AC52">
        <v>111.3</v>
      </c>
      <c r="AD52">
        <v>111.2</v>
      </c>
      <c r="AE52">
        <v>113</v>
      </c>
      <c r="AF52">
        <v>109.1</v>
      </c>
      <c r="AG52">
        <v>111.8</v>
      </c>
      <c r="AH52">
        <v>115.8</v>
      </c>
      <c r="AI52">
        <f>SUM('Cleaned Data'!AC52,'Cleaned Data'!AE52,'Cleaned Data'!Z52,'Cleaned Data'!AA52)</f>
        <v>450.9</v>
      </c>
      <c r="AJ52" s="1">
        <f t="shared" si="4"/>
        <v>112.72499999999999</v>
      </c>
    </row>
    <row r="53" spans="1:36">
      <c r="A53" t="s">
        <v>93</v>
      </c>
      <c r="B53">
        <v>2014</v>
      </c>
      <c r="C53" t="s">
        <v>23</v>
      </c>
      <c r="D53">
        <v>120.7</v>
      </c>
      <c r="E53">
        <v>121.6</v>
      </c>
      <c r="F53">
        <v>116.1</v>
      </c>
      <c r="G53">
        <v>119.3</v>
      </c>
      <c r="H53">
        <v>110.3</v>
      </c>
      <c r="I53">
        <v>125.8</v>
      </c>
      <c r="J53">
        <v>129.30000000000001</v>
      </c>
      <c r="K53">
        <v>112.2</v>
      </c>
      <c r="L53">
        <v>103.6</v>
      </c>
      <c r="M53">
        <v>112.3</v>
      </c>
      <c r="N53">
        <v>114.9</v>
      </c>
      <c r="O53">
        <v>120.1</v>
      </c>
      <c r="P53" s="1">
        <f t="shared" si="0"/>
        <v>1410.7999999999997</v>
      </c>
      <c r="Q53">
        <v>119.5</v>
      </c>
      <c r="R53">
        <v>117.3</v>
      </c>
      <c r="S53" s="1">
        <f t="shared" si="1"/>
        <v>451.6</v>
      </c>
      <c r="T53">
        <v>119.7</v>
      </c>
      <c r="U53">
        <v>117.3</v>
      </c>
      <c r="V53" s="1">
        <f t="shared" si="2"/>
        <v>356.3</v>
      </c>
      <c r="W53">
        <v>119.3</v>
      </c>
      <c r="X53">
        <v>113.9</v>
      </c>
      <c r="Y53" s="1">
        <f t="shared" si="3"/>
        <v>228.8</v>
      </c>
      <c r="Z53">
        <v>114.4</v>
      </c>
      <c r="AA53">
        <v>114.9</v>
      </c>
      <c r="AB53">
        <v>112.8</v>
      </c>
      <c r="AC53">
        <v>112.2</v>
      </c>
      <c r="AD53">
        <v>111.4</v>
      </c>
      <c r="AE53">
        <v>114.3</v>
      </c>
      <c r="AF53">
        <v>108</v>
      </c>
      <c r="AG53">
        <v>112.3</v>
      </c>
      <c r="AH53">
        <v>117</v>
      </c>
      <c r="AI53">
        <f>SUM('Cleaned Data'!AC53,'Cleaned Data'!AE53,'Cleaned Data'!Z53,'Cleaned Data'!AA53)</f>
        <v>455.79999999999995</v>
      </c>
      <c r="AJ53" s="1">
        <f t="shared" si="4"/>
        <v>113.94999999999999</v>
      </c>
    </row>
    <row r="54" spans="1:36">
      <c r="A54" t="s">
        <v>94</v>
      </c>
      <c r="B54">
        <v>2014</v>
      </c>
      <c r="C54" t="s">
        <v>23</v>
      </c>
      <c r="D54">
        <v>123.1</v>
      </c>
      <c r="E54">
        <v>125.9</v>
      </c>
      <c r="F54">
        <v>115.4</v>
      </c>
      <c r="G54">
        <v>120.4</v>
      </c>
      <c r="H54">
        <v>103.4</v>
      </c>
      <c r="I54">
        <v>131.19999999999999</v>
      </c>
      <c r="J54">
        <v>137.5</v>
      </c>
      <c r="K54">
        <v>112.8</v>
      </c>
      <c r="L54">
        <v>101.4</v>
      </c>
      <c r="M54">
        <v>118.3</v>
      </c>
      <c r="N54">
        <v>113.2</v>
      </c>
      <c r="O54">
        <v>122.4</v>
      </c>
      <c r="P54" s="1">
        <f t="shared" si="0"/>
        <v>1433.8000000000002</v>
      </c>
      <c r="Q54">
        <v>122</v>
      </c>
      <c r="R54">
        <v>119</v>
      </c>
      <c r="S54" s="1">
        <f t="shared" si="1"/>
        <v>452.7</v>
      </c>
      <c r="T54">
        <v>117.4</v>
      </c>
      <c r="U54">
        <v>113.2</v>
      </c>
      <c r="V54" s="1">
        <f t="shared" si="2"/>
        <v>347.3</v>
      </c>
      <c r="W54">
        <v>116.7</v>
      </c>
      <c r="X54">
        <v>113.9</v>
      </c>
      <c r="Y54" s="1">
        <f t="shared" si="3"/>
        <v>228.2</v>
      </c>
      <c r="Z54">
        <v>111.2</v>
      </c>
      <c r="AA54">
        <v>114.3</v>
      </c>
      <c r="AB54">
        <v>111.4</v>
      </c>
      <c r="AC54">
        <v>111.5</v>
      </c>
      <c r="AD54">
        <v>111.8</v>
      </c>
      <c r="AE54">
        <v>115.1</v>
      </c>
      <c r="AF54">
        <v>108.7</v>
      </c>
      <c r="AG54">
        <v>112.2</v>
      </c>
      <c r="AH54">
        <v>116.4</v>
      </c>
      <c r="AI54">
        <f>SUM('Cleaned Data'!AC54,'Cleaned Data'!AE54,'Cleaned Data'!Z54,'Cleaned Data'!AA54)</f>
        <v>452.1</v>
      </c>
      <c r="AJ54" s="1">
        <f t="shared" si="4"/>
        <v>113.02499999999999</v>
      </c>
    </row>
    <row r="55" spans="1:36">
      <c r="A55" t="s">
        <v>6</v>
      </c>
      <c r="B55">
        <v>2014</v>
      </c>
      <c r="C55" t="s">
        <v>23</v>
      </c>
      <c r="D55">
        <v>121.5</v>
      </c>
      <c r="E55">
        <v>123.1</v>
      </c>
      <c r="F55">
        <v>115.8</v>
      </c>
      <c r="G55">
        <v>119.7</v>
      </c>
      <c r="H55">
        <v>107.8</v>
      </c>
      <c r="I55">
        <v>128.30000000000001</v>
      </c>
      <c r="J55">
        <v>132.1</v>
      </c>
      <c r="K55">
        <v>112.4</v>
      </c>
      <c r="L55">
        <v>102.9</v>
      </c>
      <c r="M55">
        <v>114.3</v>
      </c>
      <c r="N55">
        <v>114.2</v>
      </c>
      <c r="O55">
        <v>121.2</v>
      </c>
      <c r="P55" s="1">
        <f t="shared" si="0"/>
        <v>1419.5</v>
      </c>
      <c r="Q55">
        <v>120.4</v>
      </c>
      <c r="R55">
        <v>117.8</v>
      </c>
      <c r="S55" s="1">
        <f t="shared" si="1"/>
        <v>451.90000000000003</v>
      </c>
      <c r="T55">
        <v>118.8</v>
      </c>
      <c r="U55">
        <v>115.6</v>
      </c>
      <c r="V55" s="1">
        <f t="shared" si="2"/>
        <v>352.7</v>
      </c>
      <c r="W55">
        <v>118.3</v>
      </c>
      <c r="X55">
        <v>113.9</v>
      </c>
      <c r="Y55" s="1">
        <f t="shared" si="3"/>
        <v>228.5</v>
      </c>
      <c r="Z55">
        <v>113.2</v>
      </c>
      <c r="AA55">
        <v>114.6</v>
      </c>
      <c r="AB55">
        <v>112.3</v>
      </c>
      <c r="AC55">
        <v>111.8</v>
      </c>
      <c r="AD55">
        <v>111.6</v>
      </c>
      <c r="AE55">
        <v>114.8</v>
      </c>
      <c r="AF55">
        <v>108.3</v>
      </c>
      <c r="AG55">
        <v>112.3</v>
      </c>
      <c r="AH55">
        <v>116.7</v>
      </c>
      <c r="AI55">
        <f>SUM('Cleaned Data'!AC55,'Cleaned Data'!AE55,'Cleaned Data'!Z55,'Cleaned Data'!AA55)</f>
        <v>454.4</v>
      </c>
      <c r="AJ55" s="1">
        <f t="shared" si="4"/>
        <v>113.6</v>
      </c>
    </row>
    <row r="56" spans="1:36">
      <c r="A56" t="s">
        <v>93</v>
      </c>
      <c r="B56">
        <v>2014</v>
      </c>
      <c r="C56" t="s">
        <v>25</v>
      </c>
      <c r="D56">
        <v>121.7</v>
      </c>
      <c r="E56">
        <v>122.5</v>
      </c>
      <c r="F56">
        <v>117.7</v>
      </c>
      <c r="G56">
        <v>120.6</v>
      </c>
      <c r="H56">
        <v>110.4</v>
      </c>
      <c r="I56">
        <v>129.1</v>
      </c>
      <c r="J56">
        <v>150.1</v>
      </c>
      <c r="K56">
        <v>113.2</v>
      </c>
      <c r="L56">
        <v>104.8</v>
      </c>
      <c r="M56">
        <v>113.3</v>
      </c>
      <c r="N56">
        <v>115.6</v>
      </c>
      <c r="O56">
        <v>120.9</v>
      </c>
      <c r="P56" s="1">
        <f t="shared" si="0"/>
        <v>1447.6</v>
      </c>
      <c r="Q56">
        <v>123.3</v>
      </c>
      <c r="R56">
        <v>118</v>
      </c>
      <c r="S56" s="1">
        <f t="shared" si="1"/>
        <v>454.2</v>
      </c>
      <c r="T56">
        <v>120.7</v>
      </c>
      <c r="U56">
        <v>118.3</v>
      </c>
      <c r="V56" s="1">
        <f t="shared" si="2"/>
        <v>359.3</v>
      </c>
      <c r="W56">
        <v>120.3</v>
      </c>
      <c r="X56">
        <v>114.8</v>
      </c>
      <c r="Y56" s="1">
        <f t="shared" si="3"/>
        <v>230.2</v>
      </c>
      <c r="Z56">
        <v>115.3</v>
      </c>
      <c r="AA56">
        <v>115.4</v>
      </c>
      <c r="AB56">
        <v>113.4</v>
      </c>
      <c r="AC56">
        <v>113.2</v>
      </c>
      <c r="AD56">
        <v>111.8</v>
      </c>
      <c r="AE56">
        <v>115.5</v>
      </c>
      <c r="AF56">
        <v>108.8</v>
      </c>
      <c r="AG56">
        <v>113.1</v>
      </c>
      <c r="AH56">
        <v>119.5</v>
      </c>
      <c r="AI56">
        <f>SUM('Cleaned Data'!AC56,'Cleaned Data'!AE56,'Cleaned Data'!Z56,'Cleaned Data'!AA56)</f>
        <v>459.4</v>
      </c>
      <c r="AJ56" s="1">
        <f t="shared" si="4"/>
        <v>114.85000000000001</v>
      </c>
    </row>
    <row r="57" spans="1:36">
      <c r="A57" t="s">
        <v>94</v>
      </c>
      <c r="B57">
        <v>2014</v>
      </c>
      <c r="C57" t="s">
        <v>25</v>
      </c>
      <c r="D57">
        <v>123.8</v>
      </c>
      <c r="E57">
        <v>126.4</v>
      </c>
      <c r="F57">
        <v>118</v>
      </c>
      <c r="G57">
        <v>121.6</v>
      </c>
      <c r="H57">
        <v>103.5</v>
      </c>
      <c r="I57">
        <v>133.69999999999999</v>
      </c>
      <c r="J57">
        <v>172.4</v>
      </c>
      <c r="K57">
        <v>113.1</v>
      </c>
      <c r="L57">
        <v>102.7</v>
      </c>
      <c r="M57">
        <v>120</v>
      </c>
      <c r="N57">
        <v>113.8</v>
      </c>
      <c r="O57">
        <v>123.4</v>
      </c>
      <c r="P57" s="1">
        <f t="shared" si="0"/>
        <v>1485.7</v>
      </c>
      <c r="Q57">
        <v>127.1</v>
      </c>
      <c r="R57">
        <v>121</v>
      </c>
      <c r="S57" s="1">
        <f t="shared" si="1"/>
        <v>456.90000000000003</v>
      </c>
      <c r="T57">
        <v>118</v>
      </c>
      <c r="U57">
        <v>113.6</v>
      </c>
      <c r="V57" s="1">
        <f t="shared" si="2"/>
        <v>349</v>
      </c>
      <c r="W57">
        <v>117.4</v>
      </c>
      <c r="X57">
        <v>114.8</v>
      </c>
      <c r="Y57" s="1">
        <f t="shared" si="3"/>
        <v>229.7</v>
      </c>
      <c r="Z57">
        <v>111.6</v>
      </c>
      <c r="AA57">
        <v>114.9</v>
      </c>
      <c r="AB57">
        <v>111.5</v>
      </c>
      <c r="AC57">
        <v>113</v>
      </c>
      <c r="AD57">
        <v>112.4</v>
      </c>
      <c r="AE57">
        <v>117.8</v>
      </c>
      <c r="AF57">
        <v>109.7</v>
      </c>
      <c r="AG57">
        <v>113.5</v>
      </c>
      <c r="AH57">
        <v>118.9</v>
      </c>
      <c r="AI57">
        <f>SUM('Cleaned Data'!AC57,'Cleaned Data'!AE57,'Cleaned Data'!Z57,'Cleaned Data'!AA57)</f>
        <v>457.29999999999995</v>
      </c>
      <c r="AJ57" s="1">
        <f t="shared" si="4"/>
        <v>114.32500000000002</v>
      </c>
    </row>
    <row r="58" spans="1:36">
      <c r="A58" t="s">
        <v>6</v>
      </c>
      <c r="B58">
        <v>2014</v>
      </c>
      <c r="C58" t="s">
        <v>25</v>
      </c>
      <c r="D58">
        <v>122.4</v>
      </c>
      <c r="E58">
        <v>123.9</v>
      </c>
      <c r="F58">
        <v>117.8</v>
      </c>
      <c r="G58">
        <v>121</v>
      </c>
      <c r="H58">
        <v>107.9</v>
      </c>
      <c r="I58">
        <v>131.19999999999999</v>
      </c>
      <c r="J58">
        <v>157.69999999999999</v>
      </c>
      <c r="K58">
        <v>113.2</v>
      </c>
      <c r="L58">
        <v>104.1</v>
      </c>
      <c r="M58">
        <v>115.5</v>
      </c>
      <c r="N58">
        <v>114.8</v>
      </c>
      <c r="O58">
        <v>122.1</v>
      </c>
      <c r="P58" s="1">
        <f t="shared" si="0"/>
        <v>1461.5000000000002</v>
      </c>
      <c r="Q58">
        <v>124.7</v>
      </c>
      <c r="R58">
        <v>118.8</v>
      </c>
      <c r="S58" s="1">
        <f t="shared" si="1"/>
        <v>454.9</v>
      </c>
      <c r="T58">
        <v>119.6</v>
      </c>
      <c r="U58">
        <v>116.3</v>
      </c>
      <c r="V58" s="1">
        <f t="shared" si="2"/>
        <v>355</v>
      </c>
      <c r="W58">
        <v>119.1</v>
      </c>
      <c r="X58">
        <v>114.8</v>
      </c>
      <c r="Y58" s="1">
        <f t="shared" si="3"/>
        <v>230</v>
      </c>
      <c r="Z58">
        <v>113.9</v>
      </c>
      <c r="AA58">
        <v>115.2</v>
      </c>
      <c r="AB58">
        <v>112.7</v>
      </c>
      <c r="AC58">
        <v>113.1</v>
      </c>
      <c r="AD58">
        <v>112.1</v>
      </c>
      <c r="AE58">
        <v>116.8</v>
      </c>
      <c r="AF58">
        <v>109.2</v>
      </c>
      <c r="AG58">
        <v>113.3</v>
      </c>
      <c r="AH58">
        <v>119.2</v>
      </c>
      <c r="AI58">
        <f>SUM('Cleaned Data'!AC58,'Cleaned Data'!AE58,'Cleaned Data'!Z58,'Cleaned Data'!AA58)</f>
        <v>458.99999999999994</v>
      </c>
      <c r="AJ58" s="1">
        <f t="shared" si="4"/>
        <v>114.75</v>
      </c>
    </row>
    <row r="59" spans="1:36">
      <c r="A59" t="s">
        <v>93</v>
      </c>
      <c r="B59">
        <v>2014</v>
      </c>
      <c r="C59" t="s">
        <v>27</v>
      </c>
      <c r="D59">
        <v>121.8</v>
      </c>
      <c r="E59">
        <v>122.8</v>
      </c>
      <c r="F59">
        <v>117.8</v>
      </c>
      <c r="G59">
        <v>121.9</v>
      </c>
      <c r="H59">
        <v>110.6</v>
      </c>
      <c r="I59">
        <v>129.69999999999999</v>
      </c>
      <c r="J59">
        <v>161.1</v>
      </c>
      <c r="K59">
        <v>114.1</v>
      </c>
      <c r="L59">
        <v>105.1</v>
      </c>
      <c r="M59">
        <v>114.6</v>
      </c>
      <c r="N59">
        <v>115.8</v>
      </c>
      <c r="O59">
        <v>121.7</v>
      </c>
      <c r="P59" s="1">
        <f t="shared" si="0"/>
        <v>1466.4999999999998</v>
      </c>
      <c r="Q59">
        <v>125.3</v>
      </c>
      <c r="R59">
        <v>118.8</v>
      </c>
      <c r="S59" s="1">
        <f t="shared" si="1"/>
        <v>456.20000000000005</v>
      </c>
      <c r="T59">
        <v>120.9</v>
      </c>
      <c r="U59">
        <v>118.8</v>
      </c>
      <c r="V59" s="1">
        <f t="shared" si="2"/>
        <v>360.4</v>
      </c>
      <c r="W59">
        <v>120.7</v>
      </c>
      <c r="X59">
        <v>115.5</v>
      </c>
      <c r="Y59" s="1">
        <f t="shared" si="3"/>
        <v>231.4</v>
      </c>
      <c r="Z59">
        <v>115.4</v>
      </c>
      <c r="AA59">
        <v>115.9</v>
      </c>
      <c r="AB59">
        <v>114</v>
      </c>
      <c r="AC59">
        <v>113.2</v>
      </c>
      <c r="AD59">
        <v>112.2</v>
      </c>
      <c r="AE59">
        <v>116.2</v>
      </c>
      <c r="AF59">
        <v>109.4</v>
      </c>
      <c r="AG59">
        <v>113.5</v>
      </c>
      <c r="AH59">
        <v>120.7</v>
      </c>
      <c r="AI59">
        <f>SUM('Cleaned Data'!AC59,'Cleaned Data'!AE59,'Cleaned Data'!Z59,'Cleaned Data'!AA59)</f>
        <v>460.70000000000005</v>
      </c>
      <c r="AJ59" s="1">
        <f t="shared" si="4"/>
        <v>115.17500000000001</v>
      </c>
    </row>
    <row r="60" spans="1:36">
      <c r="A60" t="s">
        <v>94</v>
      </c>
      <c r="B60">
        <v>2014</v>
      </c>
      <c r="C60" t="s">
        <v>27</v>
      </c>
      <c r="D60">
        <v>124.8</v>
      </c>
      <c r="E60">
        <v>127.3</v>
      </c>
      <c r="F60">
        <v>116.5</v>
      </c>
      <c r="G60">
        <v>122.2</v>
      </c>
      <c r="H60">
        <v>103.6</v>
      </c>
      <c r="I60">
        <v>132.69999999999999</v>
      </c>
      <c r="J60">
        <v>181.9</v>
      </c>
      <c r="K60">
        <v>115.2</v>
      </c>
      <c r="L60">
        <v>102.7</v>
      </c>
      <c r="M60">
        <v>122.1</v>
      </c>
      <c r="N60">
        <v>114.4</v>
      </c>
      <c r="O60">
        <v>124.7</v>
      </c>
      <c r="P60" s="1">
        <f t="shared" si="0"/>
        <v>1502.6</v>
      </c>
      <c r="Q60">
        <v>128.9</v>
      </c>
      <c r="R60">
        <v>123</v>
      </c>
      <c r="S60" s="1">
        <f t="shared" si="1"/>
        <v>460.8</v>
      </c>
      <c r="T60">
        <v>118.6</v>
      </c>
      <c r="U60">
        <v>114.1</v>
      </c>
      <c r="V60" s="1">
        <f t="shared" si="2"/>
        <v>350.6</v>
      </c>
      <c r="W60">
        <v>117.9</v>
      </c>
      <c r="X60">
        <v>115.5</v>
      </c>
      <c r="Y60" s="1">
        <f t="shared" si="3"/>
        <v>230.8</v>
      </c>
      <c r="Z60">
        <v>111.8</v>
      </c>
      <c r="AA60">
        <v>115.3</v>
      </c>
      <c r="AB60">
        <v>112.2</v>
      </c>
      <c r="AC60">
        <v>112.5</v>
      </c>
      <c r="AD60">
        <v>112.9</v>
      </c>
      <c r="AE60">
        <v>119.2</v>
      </c>
      <c r="AF60">
        <v>110.5</v>
      </c>
      <c r="AG60">
        <v>113.9</v>
      </c>
      <c r="AH60">
        <v>119.9</v>
      </c>
      <c r="AI60">
        <f>SUM('Cleaned Data'!AC60,'Cleaned Data'!AE60,'Cleaned Data'!Z60,'Cleaned Data'!AA60)</f>
        <v>458.8</v>
      </c>
      <c r="AJ60" s="1">
        <f t="shared" si="4"/>
        <v>114.7</v>
      </c>
    </row>
    <row r="61" spans="1:36">
      <c r="A61" t="s">
        <v>6</v>
      </c>
      <c r="B61">
        <v>2014</v>
      </c>
      <c r="C61" t="s">
        <v>27</v>
      </c>
      <c r="D61">
        <v>122.7</v>
      </c>
      <c r="E61">
        <v>124.4</v>
      </c>
      <c r="F61">
        <v>117.3</v>
      </c>
      <c r="G61">
        <v>122</v>
      </c>
      <c r="H61">
        <v>108</v>
      </c>
      <c r="I61">
        <v>131.1</v>
      </c>
      <c r="J61">
        <v>168.2</v>
      </c>
      <c r="K61">
        <v>114.5</v>
      </c>
      <c r="L61">
        <v>104.3</v>
      </c>
      <c r="M61">
        <v>117.1</v>
      </c>
      <c r="N61">
        <v>115.2</v>
      </c>
      <c r="O61">
        <v>123.1</v>
      </c>
      <c r="P61" s="1">
        <f t="shared" si="0"/>
        <v>1479.3000000000002</v>
      </c>
      <c r="Q61">
        <v>126.6</v>
      </c>
      <c r="R61">
        <v>119.9</v>
      </c>
      <c r="S61" s="1">
        <f t="shared" si="1"/>
        <v>457.6</v>
      </c>
      <c r="T61">
        <v>120</v>
      </c>
      <c r="U61">
        <v>116.8</v>
      </c>
      <c r="V61" s="1">
        <f t="shared" si="2"/>
        <v>356.4</v>
      </c>
      <c r="W61">
        <v>119.6</v>
      </c>
      <c r="X61">
        <v>115.5</v>
      </c>
      <c r="Y61" s="1">
        <f t="shared" si="3"/>
        <v>231.1</v>
      </c>
      <c r="Z61">
        <v>114</v>
      </c>
      <c r="AA61">
        <v>115.6</v>
      </c>
      <c r="AB61">
        <v>113.3</v>
      </c>
      <c r="AC61">
        <v>112.8</v>
      </c>
      <c r="AD61">
        <v>112.6</v>
      </c>
      <c r="AE61">
        <v>118</v>
      </c>
      <c r="AF61">
        <v>109.9</v>
      </c>
      <c r="AG61">
        <v>113.7</v>
      </c>
      <c r="AH61">
        <v>120.3</v>
      </c>
      <c r="AI61">
        <f>SUM('Cleaned Data'!AC61,'Cleaned Data'!AE61,'Cleaned Data'!Z61,'Cleaned Data'!AA61)</f>
        <v>460.4</v>
      </c>
      <c r="AJ61" s="1">
        <f t="shared" si="4"/>
        <v>115.1</v>
      </c>
    </row>
    <row r="62" spans="1:36">
      <c r="A62" t="s">
        <v>93</v>
      </c>
      <c r="B62">
        <v>2014</v>
      </c>
      <c r="C62" t="s">
        <v>29</v>
      </c>
      <c r="D62">
        <v>122.3</v>
      </c>
      <c r="E62">
        <v>122.4</v>
      </c>
      <c r="F62">
        <v>117.8</v>
      </c>
      <c r="G62">
        <v>122.7</v>
      </c>
      <c r="H62">
        <v>110.4</v>
      </c>
      <c r="I62">
        <v>129.80000000000001</v>
      </c>
      <c r="J62">
        <v>158.80000000000001</v>
      </c>
      <c r="K62">
        <v>115</v>
      </c>
      <c r="L62">
        <v>104.7</v>
      </c>
      <c r="M62">
        <v>114.9</v>
      </c>
      <c r="N62">
        <v>116.5</v>
      </c>
      <c r="O62">
        <v>122.6</v>
      </c>
      <c r="P62" s="1">
        <f t="shared" si="0"/>
        <v>1466.7</v>
      </c>
      <c r="Q62">
        <v>125.3</v>
      </c>
      <c r="R62">
        <v>119.5</v>
      </c>
      <c r="S62" s="1">
        <f t="shared" si="1"/>
        <v>457.70000000000005</v>
      </c>
      <c r="T62">
        <v>121.7</v>
      </c>
      <c r="U62">
        <v>119.2</v>
      </c>
      <c r="V62" s="1">
        <f t="shared" si="2"/>
        <v>362.2</v>
      </c>
      <c r="W62">
        <v>121.3</v>
      </c>
      <c r="X62">
        <v>116.1</v>
      </c>
      <c r="Y62" s="1">
        <f t="shared" si="3"/>
        <v>232.8</v>
      </c>
      <c r="Z62">
        <v>115.8</v>
      </c>
      <c r="AA62">
        <v>116.7</v>
      </c>
      <c r="AB62">
        <v>114.5</v>
      </c>
      <c r="AC62">
        <v>112.8</v>
      </c>
      <c r="AD62">
        <v>112.6</v>
      </c>
      <c r="AE62">
        <v>116.6</v>
      </c>
      <c r="AF62">
        <v>109.1</v>
      </c>
      <c r="AG62">
        <v>113.7</v>
      </c>
      <c r="AH62">
        <v>120.9</v>
      </c>
      <c r="AI62">
        <f>SUM('Cleaned Data'!AC62,'Cleaned Data'!AE62,'Cleaned Data'!Z62,'Cleaned Data'!AA62)</f>
        <v>461.9</v>
      </c>
      <c r="AJ62" s="1">
        <f t="shared" si="4"/>
        <v>115.47499999999999</v>
      </c>
    </row>
    <row r="63" spans="1:36">
      <c r="A63" t="s">
        <v>94</v>
      </c>
      <c r="B63">
        <v>2014</v>
      </c>
      <c r="C63" t="s">
        <v>29</v>
      </c>
      <c r="D63">
        <v>124.2</v>
      </c>
      <c r="E63">
        <v>125.4</v>
      </c>
      <c r="F63">
        <v>116.4</v>
      </c>
      <c r="G63">
        <v>122.7</v>
      </c>
      <c r="H63">
        <v>103.5</v>
      </c>
      <c r="I63">
        <v>124.5</v>
      </c>
      <c r="J63">
        <v>168.6</v>
      </c>
      <c r="K63">
        <v>116.9</v>
      </c>
      <c r="L63">
        <v>101.9</v>
      </c>
      <c r="M63">
        <v>122.9</v>
      </c>
      <c r="N63">
        <v>114.8</v>
      </c>
      <c r="O63">
        <v>125.2</v>
      </c>
      <c r="P63" s="1">
        <f t="shared" si="0"/>
        <v>1478.9000000000003</v>
      </c>
      <c r="Q63">
        <v>126.7</v>
      </c>
      <c r="R63">
        <v>124.3</v>
      </c>
      <c r="S63" s="1">
        <f t="shared" si="1"/>
        <v>462.5</v>
      </c>
      <c r="T63">
        <v>119.2</v>
      </c>
      <c r="U63">
        <v>114.5</v>
      </c>
      <c r="V63" s="1">
        <f t="shared" si="2"/>
        <v>352.1</v>
      </c>
      <c r="W63">
        <v>118.4</v>
      </c>
      <c r="X63">
        <v>116.1</v>
      </c>
      <c r="Y63" s="1">
        <f t="shared" si="3"/>
        <v>231.6</v>
      </c>
      <c r="Z63">
        <v>111.8</v>
      </c>
      <c r="AA63">
        <v>115.5</v>
      </c>
      <c r="AB63">
        <v>112.3</v>
      </c>
      <c r="AC63">
        <v>111.2</v>
      </c>
      <c r="AD63">
        <v>113.4</v>
      </c>
      <c r="AE63">
        <v>120</v>
      </c>
      <c r="AF63">
        <v>110</v>
      </c>
      <c r="AG63">
        <v>113.6</v>
      </c>
      <c r="AH63">
        <v>119.2</v>
      </c>
      <c r="AI63">
        <f>SUM('Cleaned Data'!AC63,'Cleaned Data'!AE63,'Cleaned Data'!Z63,'Cleaned Data'!AA63)</f>
        <v>458.5</v>
      </c>
      <c r="AJ63" s="1">
        <f t="shared" si="4"/>
        <v>114.625</v>
      </c>
    </row>
    <row r="64" spans="1:36">
      <c r="A64" t="s">
        <v>6</v>
      </c>
      <c r="B64">
        <v>2014</v>
      </c>
      <c r="C64" t="s">
        <v>29</v>
      </c>
      <c r="D64">
        <v>122.9</v>
      </c>
      <c r="E64">
        <v>123.5</v>
      </c>
      <c r="F64">
        <v>117.3</v>
      </c>
      <c r="G64">
        <v>122.7</v>
      </c>
      <c r="H64">
        <v>107.9</v>
      </c>
      <c r="I64">
        <v>127.3</v>
      </c>
      <c r="J64">
        <v>162.1</v>
      </c>
      <c r="K64">
        <v>115.6</v>
      </c>
      <c r="L64">
        <v>103.8</v>
      </c>
      <c r="M64">
        <v>117.6</v>
      </c>
      <c r="N64">
        <v>115.8</v>
      </c>
      <c r="O64">
        <v>123.8</v>
      </c>
      <c r="P64" s="1">
        <f t="shared" si="0"/>
        <v>1470.3</v>
      </c>
      <c r="Q64">
        <v>125.8</v>
      </c>
      <c r="R64">
        <v>120.8</v>
      </c>
      <c r="S64" s="1">
        <f t="shared" si="1"/>
        <v>459.2</v>
      </c>
      <c r="T64">
        <v>120.7</v>
      </c>
      <c r="U64">
        <v>117.2</v>
      </c>
      <c r="V64" s="1">
        <f t="shared" si="2"/>
        <v>358</v>
      </c>
      <c r="W64">
        <v>120.1</v>
      </c>
      <c r="X64">
        <v>116.1</v>
      </c>
      <c r="Y64" s="1">
        <f t="shared" si="3"/>
        <v>232.2</v>
      </c>
      <c r="Z64">
        <v>114.3</v>
      </c>
      <c r="AA64">
        <v>116.1</v>
      </c>
      <c r="AB64">
        <v>113.7</v>
      </c>
      <c r="AC64">
        <v>112</v>
      </c>
      <c r="AD64">
        <v>113.1</v>
      </c>
      <c r="AE64">
        <v>118.6</v>
      </c>
      <c r="AF64">
        <v>109.5</v>
      </c>
      <c r="AG64">
        <v>113.7</v>
      </c>
      <c r="AH64">
        <v>120.1</v>
      </c>
      <c r="AI64">
        <f>SUM('Cleaned Data'!AC64,'Cleaned Data'!AE64,'Cleaned Data'!Z64,'Cleaned Data'!AA64)</f>
        <v>461</v>
      </c>
      <c r="AJ64" s="1">
        <f t="shared" si="4"/>
        <v>115.25</v>
      </c>
    </row>
    <row r="65" spans="1:36">
      <c r="A65" t="s">
        <v>93</v>
      </c>
      <c r="B65">
        <v>2014</v>
      </c>
      <c r="C65" t="s">
        <v>31</v>
      </c>
      <c r="D65">
        <v>122.6</v>
      </c>
      <c r="E65">
        <v>122.5</v>
      </c>
      <c r="F65">
        <v>118.3</v>
      </c>
      <c r="G65">
        <v>123.2</v>
      </c>
      <c r="H65">
        <v>110.5</v>
      </c>
      <c r="I65">
        <v>128.9</v>
      </c>
      <c r="J65">
        <v>155.30000000000001</v>
      </c>
      <c r="K65">
        <v>115.5</v>
      </c>
      <c r="L65">
        <v>104</v>
      </c>
      <c r="M65">
        <v>115.3</v>
      </c>
      <c r="N65">
        <v>116.8</v>
      </c>
      <c r="O65">
        <v>123.2</v>
      </c>
      <c r="P65" s="1">
        <f t="shared" si="0"/>
        <v>1464.3999999999999</v>
      </c>
      <c r="Q65">
        <v>125.1</v>
      </c>
      <c r="R65">
        <v>120</v>
      </c>
      <c r="S65" s="1">
        <f t="shared" si="1"/>
        <v>459.1</v>
      </c>
      <c r="T65">
        <v>122.7</v>
      </c>
      <c r="U65">
        <v>120.3</v>
      </c>
      <c r="V65" s="1">
        <f t="shared" si="2"/>
        <v>365.3</v>
      </c>
      <c r="W65">
        <v>122.3</v>
      </c>
      <c r="X65">
        <v>116.7</v>
      </c>
      <c r="Y65" s="1">
        <f t="shared" si="3"/>
        <v>234.2</v>
      </c>
      <c r="Z65">
        <v>116.4</v>
      </c>
      <c r="AA65">
        <v>117.5</v>
      </c>
      <c r="AB65">
        <v>115.3</v>
      </c>
      <c r="AC65">
        <v>112.6</v>
      </c>
      <c r="AD65">
        <v>113</v>
      </c>
      <c r="AE65">
        <v>116.9</v>
      </c>
      <c r="AF65">
        <v>109.3</v>
      </c>
      <c r="AG65">
        <v>114</v>
      </c>
      <c r="AH65">
        <v>121</v>
      </c>
      <c r="AI65">
        <f>SUM('Cleaned Data'!AC65,'Cleaned Data'!AE65,'Cleaned Data'!Z65,'Cleaned Data'!AA65)</f>
        <v>463.4</v>
      </c>
      <c r="AJ65" s="1">
        <f t="shared" si="4"/>
        <v>115.85</v>
      </c>
    </row>
    <row r="66" spans="1:36">
      <c r="A66" t="s">
        <v>94</v>
      </c>
      <c r="B66">
        <v>2014</v>
      </c>
      <c r="C66" t="s">
        <v>31</v>
      </c>
      <c r="D66">
        <v>124.6</v>
      </c>
      <c r="E66">
        <v>126.1</v>
      </c>
      <c r="F66">
        <v>117.8</v>
      </c>
      <c r="G66">
        <v>123.1</v>
      </c>
      <c r="H66">
        <v>103.5</v>
      </c>
      <c r="I66">
        <v>123.5</v>
      </c>
      <c r="J66">
        <v>159.6</v>
      </c>
      <c r="K66">
        <v>117.4</v>
      </c>
      <c r="L66">
        <v>101.2</v>
      </c>
      <c r="M66">
        <v>123.8</v>
      </c>
      <c r="N66">
        <v>115.2</v>
      </c>
      <c r="O66">
        <v>125.9</v>
      </c>
      <c r="P66" s="1">
        <f t="shared" si="0"/>
        <v>1472.2999999999997</v>
      </c>
      <c r="Q66">
        <v>125.8</v>
      </c>
      <c r="R66">
        <v>124.3</v>
      </c>
      <c r="S66" s="1">
        <f t="shared" si="1"/>
        <v>463.20000000000005</v>
      </c>
      <c r="T66">
        <v>119.6</v>
      </c>
      <c r="U66">
        <v>114.9</v>
      </c>
      <c r="V66" s="1">
        <f t="shared" si="2"/>
        <v>353.4</v>
      </c>
      <c r="W66">
        <v>118.9</v>
      </c>
      <c r="X66">
        <v>116.7</v>
      </c>
      <c r="Y66" s="1">
        <f t="shared" si="3"/>
        <v>232.5</v>
      </c>
      <c r="Z66">
        <v>112</v>
      </c>
      <c r="AA66">
        <v>115.8</v>
      </c>
      <c r="AB66">
        <v>112.6</v>
      </c>
      <c r="AC66">
        <v>111</v>
      </c>
      <c r="AD66">
        <v>113.6</v>
      </c>
      <c r="AE66">
        <v>120.2</v>
      </c>
      <c r="AF66">
        <v>110.1</v>
      </c>
      <c r="AG66">
        <v>113.7</v>
      </c>
      <c r="AH66">
        <v>119.1</v>
      </c>
      <c r="AI66">
        <f>SUM('Cleaned Data'!AC66,'Cleaned Data'!AE66,'Cleaned Data'!Z66,'Cleaned Data'!AA66)</f>
        <v>459</v>
      </c>
      <c r="AJ66" s="1">
        <f t="shared" si="4"/>
        <v>114.75</v>
      </c>
    </row>
    <row r="67" spans="1:36">
      <c r="A67" t="s">
        <v>6</v>
      </c>
      <c r="B67">
        <v>2014</v>
      </c>
      <c r="C67" t="s">
        <v>31</v>
      </c>
      <c r="D67">
        <v>123.2</v>
      </c>
      <c r="E67">
        <v>123.8</v>
      </c>
      <c r="F67">
        <v>118.1</v>
      </c>
      <c r="G67">
        <v>123.2</v>
      </c>
      <c r="H67">
        <v>107.9</v>
      </c>
      <c r="I67">
        <v>126.4</v>
      </c>
      <c r="J67">
        <v>156.80000000000001</v>
      </c>
      <c r="K67">
        <v>116.1</v>
      </c>
      <c r="L67">
        <v>103.1</v>
      </c>
      <c r="M67">
        <v>118.1</v>
      </c>
      <c r="N67">
        <v>116.1</v>
      </c>
      <c r="O67">
        <v>124.5</v>
      </c>
      <c r="P67" s="1">
        <f t="shared" ref="P67:P130" si="5">SUM(O67,M67,L67,K67,J67,I67,H67,G67,F67,E67,D67,Q67)</f>
        <v>1466.6</v>
      </c>
      <c r="Q67">
        <v>125.4</v>
      </c>
      <c r="R67">
        <v>121.1</v>
      </c>
      <c r="S67" s="1">
        <f t="shared" ref="S67:S130" si="6">SUM(R67,N67,AD67,AF67)</f>
        <v>460.1</v>
      </c>
      <c r="T67">
        <v>121.5</v>
      </c>
      <c r="U67">
        <v>118.1</v>
      </c>
      <c r="V67" s="1">
        <f t="shared" ref="V67:V130" si="7">SUM(U67,T67,W67)</f>
        <v>360.6</v>
      </c>
      <c r="W67">
        <v>121</v>
      </c>
      <c r="X67">
        <v>116.7</v>
      </c>
      <c r="Y67" s="1">
        <f t="shared" ref="Y67:Y130" si="8">SUM(X67,AA67)</f>
        <v>233.4</v>
      </c>
      <c r="Z67">
        <v>114.7</v>
      </c>
      <c r="AA67">
        <v>116.7</v>
      </c>
      <c r="AB67">
        <v>114.3</v>
      </c>
      <c r="AC67">
        <v>111.8</v>
      </c>
      <c r="AD67">
        <v>113.3</v>
      </c>
      <c r="AE67">
        <v>118.8</v>
      </c>
      <c r="AF67">
        <v>109.6</v>
      </c>
      <c r="AG67">
        <v>113.9</v>
      </c>
      <c r="AH67">
        <v>120.1</v>
      </c>
      <c r="AI67">
        <f>SUM('Cleaned Data'!AC67,'Cleaned Data'!AE67,'Cleaned Data'!Z67,'Cleaned Data'!AA67)</f>
        <v>462</v>
      </c>
      <c r="AJ67" s="1">
        <f t="shared" ref="AJ67:AJ130" si="9">AVERAGE(AE67,AC67,AA67,Z67)</f>
        <v>115.5</v>
      </c>
    </row>
    <row r="68" spans="1:36">
      <c r="A68" t="s">
        <v>93</v>
      </c>
      <c r="B68">
        <v>2014</v>
      </c>
      <c r="C68" t="s">
        <v>33</v>
      </c>
      <c r="D68">
        <v>122.7</v>
      </c>
      <c r="E68">
        <v>122.6</v>
      </c>
      <c r="F68">
        <v>119.9</v>
      </c>
      <c r="G68">
        <v>124</v>
      </c>
      <c r="H68">
        <v>110.5</v>
      </c>
      <c r="I68">
        <v>128.80000000000001</v>
      </c>
      <c r="J68">
        <v>152</v>
      </c>
      <c r="K68">
        <v>116.2</v>
      </c>
      <c r="L68">
        <v>103.3</v>
      </c>
      <c r="M68">
        <v>115.8</v>
      </c>
      <c r="N68">
        <v>116.8</v>
      </c>
      <c r="O68">
        <v>124.5</v>
      </c>
      <c r="P68" s="1">
        <f t="shared" si="5"/>
        <v>1465.2</v>
      </c>
      <c r="Q68">
        <v>124.9</v>
      </c>
      <c r="R68">
        <v>120.8</v>
      </c>
      <c r="S68" s="1">
        <f t="shared" si="6"/>
        <v>459.7</v>
      </c>
      <c r="T68">
        <v>123.3</v>
      </c>
      <c r="U68">
        <v>120.5</v>
      </c>
      <c r="V68" s="1">
        <f t="shared" si="7"/>
        <v>366.70000000000005</v>
      </c>
      <c r="W68">
        <v>122.9</v>
      </c>
      <c r="X68">
        <v>117.1</v>
      </c>
      <c r="Y68" s="1">
        <f t="shared" si="8"/>
        <v>235.2</v>
      </c>
      <c r="Z68">
        <v>117.3</v>
      </c>
      <c r="AA68">
        <v>118.1</v>
      </c>
      <c r="AB68">
        <v>115.9</v>
      </c>
      <c r="AC68">
        <v>112</v>
      </c>
      <c r="AD68">
        <v>113.3</v>
      </c>
      <c r="AE68">
        <v>117.2</v>
      </c>
      <c r="AF68">
        <v>108.8</v>
      </c>
      <c r="AG68">
        <v>114.1</v>
      </c>
      <c r="AH68">
        <v>121.1</v>
      </c>
      <c r="AI68">
        <f>SUM('Cleaned Data'!AC68,'Cleaned Data'!AE68,'Cleaned Data'!Z68,'Cleaned Data'!AA68)</f>
        <v>464.6</v>
      </c>
      <c r="AJ68" s="1">
        <f t="shared" si="9"/>
        <v>116.14999999999999</v>
      </c>
    </row>
    <row r="69" spans="1:36">
      <c r="A69" t="s">
        <v>94</v>
      </c>
      <c r="B69">
        <v>2014</v>
      </c>
      <c r="C69" t="s">
        <v>33</v>
      </c>
      <c r="D69">
        <v>124.5</v>
      </c>
      <c r="E69">
        <v>125.6</v>
      </c>
      <c r="F69">
        <v>122.7</v>
      </c>
      <c r="G69">
        <v>124.6</v>
      </c>
      <c r="H69">
        <v>103.2</v>
      </c>
      <c r="I69">
        <v>122.2</v>
      </c>
      <c r="J69">
        <v>153.19999999999999</v>
      </c>
      <c r="K69">
        <v>119.3</v>
      </c>
      <c r="L69">
        <v>99.8</v>
      </c>
      <c r="M69">
        <v>124.6</v>
      </c>
      <c r="N69">
        <v>115.8</v>
      </c>
      <c r="O69">
        <v>126.9</v>
      </c>
      <c r="P69" s="1">
        <f t="shared" si="5"/>
        <v>1472</v>
      </c>
      <c r="Q69">
        <v>125.4</v>
      </c>
      <c r="R69">
        <v>125.8</v>
      </c>
      <c r="S69" s="1">
        <f t="shared" si="6"/>
        <v>465.20000000000005</v>
      </c>
      <c r="T69">
        <v>120.3</v>
      </c>
      <c r="U69">
        <v>115.4</v>
      </c>
      <c r="V69" s="1">
        <f t="shared" si="7"/>
        <v>355.2</v>
      </c>
      <c r="W69">
        <v>119.5</v>
      </c>
      <c r="X69">
        <v>117.1</v>
      </c>
      <c r="Y69" s="1">
        <f t="shared" si="8"/>
        <v>233.5</v>
      </c>
      <c r="Z69">
        <v>112.6</v>
      </c>
      <c r="AA69">
        <v>116.4</v>
      </c>
      <c r="AB69">
        <v>113</v>
      </c>
      <c r="AC69">
        <v>109.7</v>
      </c>
      <c r="AD69">
        <v>114</v>
      </c>
      <c r="AE69">
        <v>120.3</v>
      </c>
      <c r="AF69">
        <v>109.6</v>
      </c>
      <c r="AG69">
        <v>113.4</v>
      </c>
      <c r="AH69">
        <v>119</v>
      </c>
      <c r="AI69">
        <f>SUM('Cleaned Data'!AC69,'Cleaned Data'!AE69,'Cleaned Data'!Z69,'Cleaned Data'!AA69)</f>
        <v>459</v>
      </c>
      <c r="AJ69" s="1">
        <f t="shared" si="9"/>
        <v>114.75</v>
      </c>
    </row>
    <row r="70" spans="1:36">
      <c r="A70" t="s">
        <v>6</v>
      </c>
      <c r="B70">
        <v>2014</v>
      </c>
      <c r="C70" t="s">
        <v>33</v>
      </c>
      <c r="D70">
        <v>123.3</v>
      </c>
      <c r="E70">
        <v>123.7</v>
      </c>
      <c r="F70">
        <v>121</v>
      </c>
      <c r="G70">
        <v>124.2</v>
      </c>
      <c r="H70">
        <v>107.8</v>
      </c>
      <c r="I70">
        <v>125.7</v>
      </c>
      <c r="J70">
        <v>152.4</v>
      </c>
      <c r="K70">
        <v>117.2</v>
      </c>
      <c r="L70">
        <v>102.1</v>
      </c>
      <c r="M70">
        <v>118.7</v>
      </c>
      <c r="N70">
        <v>116.4</v>
      </c>
      <c r="O70">
        <v>125.6</v>
      </c>
      <c r="P70" s="1">
        <f t="shared" si="5"/>
        <v>1466.8</v>
      </c>
      <c r="Q70">
        <v>125.1</v>
      </c>
      <c r="R70">
        <v>122.1</v>
      </c>
      <c r="S70" s="1">
        <f t="shared" si="6"/>
        <v>461.29999999999995</v>
      </c>
      <c r="T70">
        <v>122.1</v>
      </c>
      <c r="U70">
        <v>118.4</v>
      </c>
      <c r="V70" s="1">
        <f t="shared" si="7"/>
        <v>362.1</v>
      </c>
      <c r="W70">
        <v>121.6</v>
      </c>
      <c r="X70">
        <v>117.1</v>
      </c>
      <c r="Y70" s="1">
        <f t="shared" si="8"/>
        <v>234.39999999999998</v>
      </c>
      <c r="Z70">
        <v>115.5</v>
      </c>
      <c r="AA70">
        <v>117.3</v>
      </c>
      <c r="AB70">
        <v>114.8</v>
      </c>
      <c r="AC70">
        <v>110.8</v>
      </c>
      <c r="AD70">
        <v>113.7</v>
      </c>
      <c r="AE70">
        <v>119</v>
      </c>
      <c r="AF70">
        <v>109.1</v>
      </c>
      <c r="AG70">
        <v>113.8</v>
      </c>
      <c r="AH70">
        <v>120.1</v>
      </c>
      <c r="AI70">
        <f>SUM('Cleaned Data'!AC70,'Cleaned Data'!AE70,'Cleaned Data'!Z70,'Cleaned Data'!AA70)</f>
        <v>462.6</v>
      </c>
      <c r="AJ70" s="1">
        <f t="shared" si="9"/>
        <v>115.65</v>
      </c>
    </row>
    <row r="71" spans="1:36">
      <c r="A71" t="s">
        <v>93</v>
      </c>
      <c r="B71">
        <v>2014</v>
      </c>
      <c r="C71" t="s">
        <v>35</v>
      </c>
      <c r="D71">
        <v>122.4</v>
      </c>
      <c r="E71">
        <v>122.4</v>
      </c>
      <c r="F71">
        <v>121.8</v>
      </c>
      <c r="G71">
        <v>124.2</v>
      </c>
      <c r="H71">
        <v>110.2</v>
      </c>
      <c r="I71">
        <v>128.6</v>
      </c>
      <c r="J71">
        <v>140.30000000000001</v>
      </c>
      <c r="K71">
        <v>116.3</v>
      </c>
      <c r="L71">
        <v>102</v>
      </c>
      <c r="M71">
        <v>116</v>
      </c>
      <c r="N71">
        <v>117.3</v>
      </c>
      <c r="O71">
        <v>124.8</v>
      </c>
      <c r="P71" s="1">
        <f t="shared" si="5"/>
        <v>1452.3000000000004</v>
      </c>
      <c r="Q71">
        <v>123.3</v>
      </c>
      <c r="R71">
        <v>121.7</v>
      </c>
      <c r="S71" s="1">
        <f t="shared" si="6"/>
        <v>461.70000000000005</v>
      </c>
      <c r="T71">
        <v>123.8</v>
      </c>
      <c r="U71">
        <v>120.6</v>
      </c>
      <c r="V71" s="1">
        <f t="shared" si="7"/>
        <v>367.7</v>
      </c>
      <c r="W71">
        <v>123.3</v>
      </c>
      <c r="X71">
        <v>116.5</v>
      </c>
      <c r="Y71" s="1">
        <f t="shared" si="8"/>
        <v>234.7</v>
      </c>
      <c r="Z71">
        <v>117.4</v>
      </c>
      <c r="AA71">
        <v>118.2</v>
      </c>
      <c r="AB71">
        <v>116.2</v>
      </c>
      <c r="AC71">
        <v>111.5</v>
      </c>
      <c r="AD71">
        <v>113.3</v>
      </c>
      <c r="AE71">
        <v>117.7</v>
      </c>
      <c r="AF71">
        <v>109.4</v>
      </c>
      <c r="AG71">
        <v>114.2</v>
      </c>
      <c r="AH71">
        <v>120.3</v>
      </c>
      <c r="AI71">
        <f>SUM('Cleaned Data'!AC71,'Cleaned Data'!AE71,'Cleaned Data'!Z71,'Cleaned Data'!AA71)</f>
        <v>464.8</v>
      </c>
      <c r="AJ71" s="1">
        <f t="shared" si="9"/>
        <v>116.19999999999999</v>
      </c>
    </row>
    <row r="72" spans="1:36">
      <c r="A72" t="s">
        <v>94</v>
      </c>
      <c r="B72">
        <v>2014</v>
      </c>
      <c r="C72" t="s">
        <v>35</v>
      </c>
      <c r="D72">
        <v>124</v>
      </c>
      <c r="E72">
        <v>124.7</v>
      </c>
      <c r="F72">
        <v>126.3</v>
      </c>
      <c r="G72">
        <v>124.9</v>
      </c>
      <c r="H72">
        <v>103</v>
      </c>
      <c r="I72">
        <v>122.3</v>
      </c>
      <c r="J72">
        <v>141</v>
      </c>
      <c r="K72">
        <v>120.1</v>
      </c>
      <c r="L72">
        <v>97.8</v>
      </c>
      <c r="M72">
        <v>125.4</v>
      </c>
      <c r="N72">
        <v>116.1</v>
      </c>
      <c r="O72">
        <v>127.6</v>
      </c>
      <c r="P72" s="1">
        <f t="shared" si="5"/>
        <v>1461.1</v>
      </c>
      <c r="Q72">
        <v>124</v>
      </c>
      <c r="R72">
        <v>126.4</v>
      </c>
      <c r="S72" s="1">
        <f t="shared" si="6"/>
        <v>467.20000000000005</v>
      </c>
      <c r="T72">
        <v>120.7</v>
      </c>
      <c r="U72">
        <v>115.8</v>
      </c>
      <c r="V72" s="1">
        <f t="shared" si="7"/>
        <v>356.5</v>
      </c>
      <c r="W72">
        <v>120</v>
      </c>
      <c r="X72">
        <v>116.5</v>
      </c>
      <c r="Y72" s="1">
        <f t="shared" si="8"/>
        <v>233.3</v>
      </c>
      <c r="Z72">
        <v>113</v>
      </c>
      <c r="AA72">
        <v>116.8</v>
      </c>
      <c r="AB72">
        <v>113.2</v>
      </c>
      <c r="AC72">
        <v>108.8</v>
      </c>
      <c r="AD72">
        <v>114.3</v>
      </c>
      <c r="AE72">
        <v>120.7</v>
      </c>
      <c r="AF72">
        <v>110.4</v>
      </c>
      <c r="AG72">
        <v>113.4</v>
      </c>
      <c r="AH72">
        <v>118.4</v>
      </c>
      <c r="AI72">
        <f>SUM('Cleaned Data'!AC72,'Cleaned Data'!AE72,'Cleaned Data'!Z72,'Cleaned Data'!AA72)</f>
        <v>459.3</v>
      </c>
      <c r="AJ72" s="1">
        <f t="shared" si="9"/>
        <v>114.825</v>
      </c>
    </row>
    <row r="73" spans="1:36">
      <c r="A73" t="s">
        <v>6</v>
      </c>
      <c r="B73">
        <v>2014</v>
      </c>
      <c r="C73" t="s">
        <v>35</v>
      </c>
      <c r="D73">
        <v>122.9</v>
      </c>
      <c r="E73">
        <v>123.2</v>
      </c>
      <c r="F73">
        <v>123.5</v>
      </c>
      <c r="G73">
        <v>124.5</v>
      </c>
      <c r="H73">
        <v>107.6</v>
      </c>
      <c r="I73">
        <v>125.7</v>
      </c>
      <c r="J73">
        <v>140.5</v>
      </c>
      <c r="K73">
        <v>117.6</v>
      </c>
      <c r="L73">
        <v>100.6</v>
      </c>
      <c r="M73">
        <v>119.1</v>
      </c>
      <c r="N73">
        <v>116.8</v>
      </c>
      <c r="O73">
        <v>126.1</v>
      </c>
      <c r="P73" s="1">
        <f t="shared" si="5"/>
        <v>1454.9</v>
      </c>
      <c r="Q73">
        <v>123.6</v>
      </c>
      <c r="R73">
        <v>123</v>
      </c>
      <c r="S73" s="1">
        <f t="shared" si="6"/>
        <v>463.50000000000006</v>
      </c>
      <c r="T73">
        <v>122.6</v>
      </c>
      <c r="U73">
        <v>118.6</v>
      </c>
      <c r="V73" s="1">
        <f t="shared" si="7"/>
        <v>363.2</v>
      </c>
      <c r="W73">
        <v>122</v>
      </c>
      <c r="X73">
        <v>116.5</v>
      </c>
      <c r="Y73" s="1">
        <f t="shared" si="8"/>
        <v>234</v>
      </c>
      <c r="Z73">
        <v>115.7</v>
      </c>
      <c r="AA73">
        <v>117.5</v>
      </c>
      <c r="AB73">
        <v>115.1</v>
      </c>
      <c r="AC73">
        <v>110.1</v>
      </c>
      <c r="AD73">
        <v>113.9</v>
      </c>
      <c r="AE73">
        <v>119.5</v>
      </c>
      <c r="AF73">
        <v>109.8</v>
      </c>
      <c r="AG73">
        <v>113.8</v>
      </c>
      <c r="AH73">
        <v>119.4</v>
      </c>
      <c r="AI73">
        <f>SUM('Cleaned Data'!AC73,'Cleaned Data'!AE73,'Cleaned Data'!Z73,'Cleaned Data'!AA73)</f>
        <v>462.8</v>
      </c>
      <c r="AJ73" s="1">
        <f t="shared" si="9"/>
        <v>115.7</v>
      </c>
    </row>
    <row r="74" spans="1:36">
      <c r="A74" t="s">
        <v>93</v>
      </c>
      <c r="B74">
        <v>2015</v>
      </c>
      <c r="C74" t="s">
        <v>11</v>
      </c>
      <c r="D74">
        <v>123.1</v>
      </c>
      <c r="E74">
        <v>123.1</v>
      </c>
      <c r="F74">
        <v>122.1</v>
      </c>
      <c r="G74">
        <v>124.9</v>
      </c>
      <c r="H74">
        <v>111</v>
      </c>
      <c r="I74">
        <v>130.4</v>
      </c>
      <c r="J74">
        <v>132.30000000000001</v>
      </c>
      <c r="K74">
        <v>117.2</v>
      </c>
      <c r="L74">
        <v>100.5</v>
      </c>
      <c r="M74">
        <v>117.2</v>
      </c>
      <c r="N74">
        <v>117.9</v>
      </c>
      <c r="O74">
        <v>125.6</v>
      </c>
      <c r="P74" s="1">
        <f t="shared" si="5"/>
        <v>1450.1999999999996</v>
      </c>
      <c r="Q74">
        <v>122.8</v>
      </c>
      <c r="R74">
        <v>122.7</v>
      </c>
      <c r="S74" s="1">
        <f t="shared" si="6"/>
        <v>464.8</v>
      </c>
      <c r="T74">
        <v>124.4</v>
      </c>
      <c r="U74">
        <v>121.6</v>
      </c>
      <c r="V74" s="1">
        <f t="shared" si="7"/>
        <v>370</v>
      </c>
      <c r="W74">
        <v>124</v>
      </c>
      <c r="X74">
        <v>117.3</v>
      </c>
      <c r="Y74" s="1">
        <f t="shared" si="8"/>
        <v>236.2</v>
      </c>
      <c r="Z74">
        <v>118.4</v>
      </c>
      <c r="AA74">
        <v>118.9</v>
      </c>
      <c r="AB74">
        <v>116.6</v>
      </c>
      <c r="AC74">
        <v>111</v>
      </c>
      <c r="AD74">
        <v>114</v>
      </c>
      <c r="AE74">
        <v>118.2</v>
      </c>
      <c r="AF74">
        <v>110.2</v>
      </c>
      <c r="AG74">
        <v>114.5</v>
      </c>
      <c r="AH74">
        <v>120.3</v>
      </c>
      <c r="AI74">
        <f>SUM('Cleaned Data'!AC74,'Cleaned Data'!AE74,'Cleaned Data'!Z74,'Cleaned Data'!AA74)</f>
        <v>466.5</v>
      </c>
      <c r="AJ74" s="1">
        <f t="shared" si="9"/>
        <v>116.625</v>
      </c>
    </row>
    <row r="75" spans="1:36">
      <c r="A75" t="s">
        <v>94</v>
      </c>
      <c r="B75">
        <v>2015</v>
      </c>
      <c r="C75" t="s">
        <v>11</v>
      </c>
      <c r="D75">
        <v>124</v>
      </c>
      <c r="E75">
        <v>125.5</v>
      </c>
      <c r="F75">
        <v>126.6</v>
      </c>
      <c r="G75">
        <v>125.2</v>
      </c>
      <c r="H75">
        <v>104.3</v>
      </c>
      <c r="I75">
        <v>121.3</v>
      </c>
      <c r="J75">
        <v>134.4</v>
      </c>
      <c r="K75">
        <v>122.9</v>
      </c>
      <c r="L75">
        <v>96.1</v>
      </c>
      <c r="M75">
        <v>126.6</v>
      </c>
      <c r="N75">
        <v>116.5</v>
      </c>
      <c r="O75">
        <v>128</v>
      </c>
      <c r="P75" s="1">
        <f t="shared" si="5"/>
        <v>1458.3999999999999</v>
      </c>
      <c r="Q75">
        <v>123.5</v>
      </c>
      <c r="R75">
        <v>127.4</v>
      </c>
      <c r="S75" s="1">
        <f t="shared" si="6"/>
        <v>469.9</v>
      </c>
      <c r="T75">
        <v>121</v>
      </c>
      <c r="U75">
        <v>116.1</v>
      </c>
      <c r="V75" s="1">
        <f t="shared" si="7"/>
        <v>357.3</v>
      </c>
      <c r="W75">
        <v>120.2</v>
      </c>
      <c r="X75">
        <v>117.3</v>
      </c>
      <c r="Y75" s="1">
        <f t="shared" si="8"/>
        <v>234.5</v>
      </c>
      <c r="Z75">
        <v>113.4</v>
      </c>
      <c r="AA75">
        <v>117.2</v>
      </c>
      <c r="AB75">
        <v>113.7</v>
      </c>
      <c r="AC75">
        <v>107.9</v>
      </c>
      <c r="AD75">
        <v>114.6</v>
      </c>
      <c r="AE75">
        <v>120.8</v>
      </c>
      <c r="AF75">
        <v>111.4</v>
      </c>
      <c r="AG75">
        <v>113.4</v>
      </c>
      <c r="AH75">
        <v>118.5</v>
      </c>
      <c r="AI75">
        <f>SUM('Cleaned Data'!AC75,'Cleaned Data'!AE75,'Cleaned Data'!Z75,'Cleaned Data'!AA75)</f>
        <v>459.3</v>
      </c>
      <c r="AJ75" s="1">
        <f t="shared" si="9"/>
        <v>114.82499999999999</v>
      </c>
    </row>
    <row r="76" spans="1:36">
      <c r="A76" t="s">
        <v>6</v>
      </c>
      <c r="B76">
        <v>2015</v>
      </c>
      <c r="C76" t="s">
        <v>11</v>
      </c>
      <c r="D76">
        <v>123.4</v>
      </c>
      <c r="E76">
        <v>123.9</v>
      </c>
      <c r="F76">
        <v>123.8</v>
      </c>
      <c r="G76">
        <v>125</v>
      </c>
      <c r="H76">
        <v>108.5</v>
      </c>
      <c r="I76">
        <v>126.2</v>
      </c>
      <c r="J76">
        <v>133</v>
      </c>
      <c r="K76">
        <v>119.1</v>
      </c>
      <c r="L76">
        <v>99</v>
      </c>
      <c r="M76">
        <v>120.3</v>
      </c>
      <c r="N76">
        <v>117.3</v>
      </c>
      <c r="O76">
        <v>126.7</v>
      </c>
      <c r="P76" s="1">
        <f t="shared" si="5"/>
        <v>1452.0000000000002</v>
      </c>
      <c r="Q76">
        <v>123.1</v>
      </c>
      <c r="R76">
        <v>124</v>
      </c>
      <c r="S76" s="1">
        <f t="shared" si="6"/>
        <v>466.3</v>
      </c>
      <c r="T76">
        <v>123.1</v>
      </c>
      <c r="U76">
        <v>119.3</v>
      </c>
      <c r="V76" s="1">
        <f t="shared" si="7"/>
        <v>364.9</v>
      </c>
      <c r="W76">
        <v>122.5</v>
      </c>
      <c r="X76">
        <v>117.3</v>
      </c>
      <c r="Y76" s="1">
        <f t="shared" si="8"/>
        <v>235.39999999999998</v>
      </c>
      <c r="Z76">
        <v>116.5</v>
      </c>
      <c r="AA76">
        <v>118.1</v>
      </c>
      <c r="AB76">
        <v>115.5</v>
      </c>
      <c r="AC76">
        <v>109.4</v>
      </c>
      <c r="AD76">
        <v>114.3</v>
      </c>
      <c r="AE76">
        <v>119.7</v>
      </c>
      <c r="AF76">
        <v>110.7</v>
      </c>
      <c r="AG76">
        <v>114</v>
      </c>
      <c r="AH76">
        <v>119.5</v>
      </c>
      <c r="AI76">
        <f>SUM('Cleaned Data'!AC76,'Cleaned Data'!AE76,'Cleaned Data'!Z76,'Cleaned Data'!AA76)</f>
        <v>463.70000000000005</v>
      </c>
      <c r="AJ76" s="1">
        <f t="shared" si="9"/>
        <v>115.92500000000001</v>
      </c>
    </row>
    <row r="77" spans="1:36">
      <c r="A77" t="s">
        <v>93</v>
      </c>
      <c r="B77">
        <v>2015</v>
      </c>
      <c r="C77" t="s">
        <v>14</v>
      </c>
      <c r="D77">
        <v>123.4</v>
      </c>
      <c r="E77">
        <v>124.4</v>
      </c>
      <c r="F77">
        <v>122.1</v>
      </c>
      <c r="G77">
        <v>125.8</v>
      </c>
      <c r="H77">
        <v>111.5</v>
      </c>
      <c r="I77">
        <v>129.4</v>
      </c>
      <c r="J77">
        <v>128.19999999999999</v>
      </c>
      <c r="K77">
        <v>118.8</v>
      </c>
      <c r="L77">
        <v>100</v>
      </c>
      <c r="M77">
        <v>118.6</v>
      </c>
      <c r="N77">
        <v>118.8</v>
      </c>
      <c r="O77">
        <v>126.8</v>
      </c>
      <c r="P77" s="1">
        <f t="shared" si="5"/>
        <v>1451.8</v>
      </c>
      <c r="Q77">
        <v>122.8</v>
      </c>
      <c r="R77">
        <v>124.2</v>
      </c>
      <c r="S77" s="1">
        <f t="shared" si="6"/>
        <v>468.6</v>
      </c>
      <c r="T77">
        <v>125.4</v>
      </c>
      <c r="U77">
        <v>122.7</v>
      </c>
      <c r="V77" s="1">
        <f t="shared" si="7"/>
        <v>373.1</v>
      </c>
      <c r="W77">
        <v>125</v>
      </c>
      <c r="X77">
        <v>118.1</v>
      </c>
      <c r="Y77" s="1">
        <f t="shared" si="8"/>
        <v>237.7</v>
      </c>
      <c r="Z77">
        <v>120</v>
      </c>
      <c r="AA77">
        <v>119.6</v>
      </c>
      <c r="AB77">
        <v>117.7</v>
      </c>
      <c r="AC77">
        <v>110.9</v>
      </c>
      <c r="AD77">
        <v>114.8</v>
      </c>
      <c r="AE77">
        <v>118.7</v>
      </c>
      <c r="AF77">
        <v>110.8</v>
      </c>
      <c r="AG77">
        <v>115</v>
      </c>
      <c r="AH77">
        <v>120.6</v>
      </c>
      <c r="AI77">
        <f>SUM('Cleaned Data'!AC77,'Cleaned Data'!AE77,'Cleaned Data'!Z77,'Cleaned Data'!AA77)</f>
        <v>469.20000000000005</v>
      </c>
      <c r="AJ77" s="1">
        <f t="shared" si="9"/>
        <v>117.30000000000001</v>
      </c>
    </row>
    <row r="78" spans="1:36">
      <c r="A78" t="s">
        <v>94</v>
      </c>
      <c r="B78">
        <v>2015</v>
      </c>
      <c r="C78" t="s">
        <v>14</v>
      </c>
      <c r="D78">
        <v>124.3</v>
      </c>
      <c r="E78">
        <v>126.5</v>
      </c>
      <c r="F78">
        <v>119.5</v>
      </c>
      <c r="G78">
        <v>125.6</v>
      </c>
      <c r="H78">
        <v>104.9</v>
      </c>
      <c r="I78">
        <v>121.6</v>
      </c>
      <c r="J78">
        <v>131.80000000000001</v>
      </c>
      <c r="K78">
        <v>125.1</v>
      </c>
      <c r="L78">
        <v>95</v>
      </c>
      <c r="M78">
        <v>127.7</v>
      </c>
      <c r="N78">
        <v>116.8</v>
      </c>
      <c r="O78">
        <v>128.6</v>
      </c>
      <c r="P78" s="1">
        <f t="shared" si="5"/>
        <v>1454.3000000000002</v>
      </c>
      <c r="Q78">
        <v>123.7</v>
      </c>
      <c r="R78">
        <v>128.1</v>
      </c>
      <c r="S78" s="1">
        <f t="shared" si="6"/>
        <v>471.49999999999994</v>
      </c>
      <c r="T78">
        <v>121.3</v>
      </c>
      <c r="U78">
        <v>116.5</v>
      </c>
      <c r="V78" s="1">
        <f t="shared" si="7"/>
        <v>358.4</v>
      </c>
      <c r="W78">
        <v>120.6</v>
      </c>
      <c r="X78">
        <v>118.1</v>
      </c>
      <c r="Y78" s="1">
        <f t="shared" si="8"/>
        <v>235.8</v>
      </c>
      <c r="Z78">
        <v>114</v>
      </c>
      <c r="AA78">
        <v>117.7</v>
      </c>
      <c r="AB78">
        <v>114.1</v>
      </c>
      <c r="AC78">
        <v>106.8</v>
      </c>
      <c r="AD78">
        <v>114.9</v>
      </c>
      <c r="AE78">
        <v>120.4</v>
      </c>
      <c r="AF78">
        <v>111.7</v>
      </c>
      <c r="AG78">
        <v>113.2</v>
      </c>
      <c r="AH78">
        <v>118.7</v>
      </c>
      <c r="AI78">
        <f>SUM('Cleaned Data'!AC78,'Cleaned Data'!AE78,'Cleaned Data'!Z78,'Cleaned Data'!AA78)</f>
        <v>458.9</v>
      </c>
      <c r="AJ78" s="1">
        <f t="shared" si="9"/>
        <v>114.72499999999999</v>
      </c>
    </row>
    <row r="79" spans="1:36">
      <c r="A79" t="s">
        <v>6</v>
      </c>
      <c r="B79">
        <v>2015</v>
      </c>
      <c r="C79" t="s">
        <v>14</v>
      </c>
      <c r="D79">
        <v>123.7</v>
      </c>
      <c r="E79">
        <v>125.1</v>
      </c>
      <c r="F79">
        <v>121.1</v>
      </c>
      <c r="G79">
        <v>125.7</v>
      </c>
      <c r="H79">
        <v>109.1</v>
      </c>
      <c r="I79">
        <v>125.8</v>
      </c>
      <c r="J79">
        <v>129.4</v>
      </c>
      <c r="K79">
        <v>120.9</v>
      </c>
      <c r="L79">
        <v>98.3</v>
      </c>
      <c r="M79">
        <v>121.6</v>
      </c>
      <c r="N79">
        <v>118</v>
      </c>
      <c r="O79">
        <v>127.6</v>
      </c>
      <c r="P79" s="1">
        <f t="shared" si="5"/>
        <v>1451.3999999999999</v>
      </c>
      <c r="Q79">
        <v>123.1</v>
      </c>
      <c r="R79">
        <v>125.2</v>
      </c>
      <c r="S79" s="1">
        <f t="shared" si="6"/>
        <v>469.3</v>
      </c>
      <c r="T79">
        <v>123.8</v>
      </c>
      <c r="U79">
        <v>120.1</v>
      </c>
      <c r="V79" s="1">
        <f t="shared" si="7"/>
        <v>367.2</v>
      </c>
      <c r="W79">
        <v>123.3</v>
      </c>
      <c r="X79">
        <v>118.1</v>
      </c>
      <c r="Y79" s="1">
        <f t="shared" si="8"/>
        <v>236.8</v>
      </c>
      <c r="Z79">
        <v>117.7</v>
      </c>
      <c r="AA79">
        <v>118.7</v>
      </c>
      <c r="AB79">
        <v>116.3</v>
      </c>
      <c r="AC79">
        <v>108.7</v>
      </c>
      <c r="AD79">
        <v>114.9</v>
      </c>
      <c r="AE79">
        <v>119.7</v>
      </c>
      <c r="AF79">
        <v>111.2</v>
      </c>
      <c r="AG79">
        <v>114.1</v>
      </c>
      <c r="AH79">
        <v>119.7</v>
      </c>
      <c r="AI79">
        <f>SUM('Cleaned Data'!AC79,'Cleaned Data'!AE79,'Cleaned Data'!Z79,'Cleaned Data'!AA79)</f>
        <v>464.8</v>
      </c>
      <c r="AJ79" s="1">
        <f t="shared" si="9"/>
        <v>116.2</v>
      </c>
    </row>
    <row r="80" spans="1:36">
      <c r="A80" t="s">
        <v>93</v>
      </c>
      <c r="B80">
        <v>2015</v>
      </c>
      <c r="C80" t="s">
        <v>17</v>
      </c>
      <c r="D80">
        <v>123.3</v>
      </c>
      <c r="E80">
        <v>124.7</v>
      </c>
      <c r="F80">
        <v>118.9</v>
      </c>
      <c r="G80">
        <v>126</v>
      </c>
      <c r="H80">
        <v>111.8</v>
      </c>
      <c r="I80">
        <v>130.9</v>
      </c>
      <c r="J80">
        <v>128</v>
      </c>
      <c r="K80">
        <v>119.9</v>
      </c>
      <c r="L80">
        <v>98.9</v>
      </c>
      <c r="M80">
        <v>119.4</v>
      </c>
      <c r="N80">
        <v>118.9</v>
      </c>
      <c r="O80">
        <v>127.7</v>
      </c>
      <c r="P80" s="1">
        <f t="shared" si="5"/>
        <v>1452.6</v>
      </c>
      <c r="Q80">
        <v>123.1</v>
      </c>
      <c r="R80">
        <v>124.7</v>
      </c>
      <c r="S80" s="1">
        <f t="shared" si="6"/>
        <v>469.90000000000003</v>
      </c>
      <c r="T80">
        <v>126</v>
      </c>
      <c r="U80">
        <v>122.9</v>
      </c>
      <c r="V80" s="1">
        <f t="shared" si="7"/>
        <v>374.4</v>
      </c>
      <c r="W80">
        <v>125.5</v>
      </c>
      <c r="X80">
        <v>118.6</v>
      </c>
      <c r="Y80" s="1">
        <f t="shared" si="8"/>
        <v>238.8</v>
      </c>
      <c r="Z80">
        <v>120.6</v>
      </c>
      <c r="AA80">
        <v>120.2</v>
      </c>
      <c r="AB80">
        <v>118.2</v>
      </c>
      <c r="AC80">
        <v>111.6</v>
      </c>
      <c r="AD80">
        <v>115.5</v>
      </c>
      <c r="AE80">
        <v>119.4</v>
      </c>
      <c r="AF80">
        <v>110.8</v>
      </c>
      <c r="AG80">
        <v>115.5</v>
      </c>
      <c r="AH80">
        <v>121.1</v>
      </c>
      <c r="AI80">
        <f>SUM('Cleaned Data'!AC80,'Cleaned Data'!AE80,'Cleaned Data'!Z80,'Cleaned Data'!AA80)</f>
        <v>471.8</v>
      </c>
      <c r="AJ80" s="1">
        <f t="shared" si="9"/>
        <v>117.94999999999999</v>
      </c>
    </row>
    <row r="81" spans="1:36">
      <c r="A81" t="s">
        <v>94</v>
      </c>
      <c r="B81">
        <v>2015</v>
      </c>
      <c r="C81" t="s">
        <v>17</v>
      </c>
      <c r="D81">
        <v>124</v>
      </c>
      <c r="E81">
        <v>126.7</v>
      </c>
      <c r="F81">
        <v>113.5</v>
      </c>
      <c r="G81">
        <v>125.9</v>
      </c>
      <c r="H81">
        <v>104.8</v>
      </c>
      <c r="I81">
        <v>123.8</v>
      </c>
      <c r="J81">
        <v>131.4</v>
      </c>
      <c r="K81">
        <v>127.2</v>
      </c>
      <c r="L81">
        <v>93.2</v>
      </c>
      <c r="M81">
        <v>127.4</v>
      </c>
      <c r="N81">
        <v>117</v>
      </c>
      <c r="O81">
        <v>129.19999999999999</v>
      </c>
      <c r="P81" s="1">
        <f t="shared" si="5"/>
        <v>1451</v>
      </c>
      <c r="Q81">
        <v>123.9</v>
      </c>
      <c r="R81">
        <v>128.80000000000001</v>
      </c>
      <c r="S81" s="1">
        <f t="shared" si="6"/>
        <v>472.50000000000006</v>
      </c>
      <c r="T81">
        <v>121.7</v>
      </c>
      <c r="U81">
        <v>116.9</v>
      </c>
      <c r="V81" s="1">
        <f t="shared" si="7"/>
        <v>359.5</v>
      </c>
      <c r="W81">
        <v>120.9</v>
      </c>
      <c r="X81">
        <v>118.6</v>
      </c>
      <c r="Y81" s="1">
        <f t="shared" si="8"/>
        <v>236.6</v>
      </c>
      <c r="Z81">
        <v>114.4</v>
      </c>
      <c r="AA81">
        <v>118</v>
      </c>
      <c r="AB81">
        <v>114.3</v>
      </c>
      <c r="AC81">
        <v>108.4</v>
      </c>
      <c r="AD81">
        <v>115.4</v>
      </c>
      <c r="AE81">
        <v>120.6</v>
      </c>
      <c r="AF81">
        <v>111.3</v>
      </c>
      <c r="AG81">
        <v>113.8</v>
      </c>
      <c r="AH81">
        <v>119.1</v>
      </c>
      <c r="AI81">
        <f>SUM('Cleaned Data'!AC81,'Cleaned Data'!AE81,'Cleaned Data'!Z81,'Cleaned Data'!AA81)</f>
        <v>461.4</v>
      </c>
      <c r="AJ81" s="1">
        <f t="shared" si="9"/>
        <v>115.35</v>
      </c>
    </row>
    <row r="82" spans="1:36">
      <c r="A82" t="s">
        <v>6</v>
      </c>
      <c r="B82">
        <v>2015</v>
      </c>
      <c r="C82" t="s">
        <v>17</v>
      </c>
      <c r="D82">
        <v>123.5</v>
      </c>
      <c r="E82">
        <v>125.4</v>
      </c>
      <c r="F82">
        <v>116.8</v>
      </c>
      <c r="G82">
        <v>126</v>
      </c>
      <c r="H82">
        <v>109.2</v>
      </c>
      <c r="I82">
        <v>127.6</v>
      </c>
      <c r="J82">
        <v>129.19999999999999</v>
      </c>
      <c r="K82">
        <v>122.4</v>
      </c>
      <c r="L82">
        <v>97</v>
      </c>
      <c r="M82">
        <v>122.1</v>
      </c>
      <c r="N82">
        <v>118.1</v>
      </c>
      <c r="O82">
        <v>128.4</v>
      </c>
      <c r="P82" s="1">
        <f t="shared" si="5"/>
        <v>1451.0000000000002</v>
      </c>
      <c r="Q82">
        <v>123.4</v>
      </c>
      <c r="R82">
        <v>125.8</v>
      </c>
      <c r="S82" s="1">
        <f t="shared" si="6"/>
        <v>470.29999999999995</v>
      </c>
      <c r="T82">
        <v>124.3</v>
      </c>
      <c r="U82">
        <v>120.4</v>
      </c>
      <c r="V82" s="1">
        <f t="shared" si="7"/>
        <v>368.4</v>
      </c>
      <c r="W82">
        <v>123.7</v>
      </c>
      <c r="X82">
        <v>118.6</v>
      </c>
      <c r="Y82" s="1">
        <f t="shared" si="8"/>
        <v>237.8</v>
      </c>
      <c r="Z82">
        <v>118.3</v>
      </c>
      <c r="AA82">
        <v>119.2</v>
      </c>
      <c r="AB82">
        <v>116.7</v>
      </c>
      <c r="AC82">
        <v>109.9</v>
      </c>
      <c r="AD82">
        <v>115.4</v>
      </c>
      <c r="AE82">
        <v>120.1</v>
      </c>
      <c r="AF82">
        <v>111</v>
      </c>
      <c r="AG82">
        <v>114.7</v>
      </c>
      <c r="AH82">
        <v>120.2</v>
      </c>
      <c r="AI82">
        <f>SUM('Cleaned Data'!AC82,'Cleaned Data'!AE82,'Cleaned Data'!Z82,'Cleaned Data'!AA82)</f>
        <v>467.5</v>
      </c>
      <c r="AJ82" s="1">
        <f t="shared" si="9"/>
        <v>116.875</v>
      </c>
    </row>
    <row r="83" spans="1:36">
      <c r="A83" t="s">
        <v>93</v>
      </c>
      <c r="B83">
        <v>2015</v>
      </c>
      <c r="C83" t="s">
        <v>19</v>
      </c>
      <c r="D83">
        <v>123.3</v>
      </c>
      <c r="E83">
        <v>125.5</v>
      </c>
      <c r="F83">
        <v>117.2</v>
      </c>
      <c r="G83">
        <v>126.8</v>
      </c>
      <c r="H83">
        <v>111.9</v>
      </c>
      <c r="I83">
        <v>134.19999999999999</v>
      </c>
      <c r="J83">
        <v>127.5</v>
      </c>
      <c r="K83">
        <v>121.5</v>
      </c>
      <c r="L83">
        <v>97.8</v>
      </c>
      <c r="M83">
        <v>119.8</v>
      </c>
      <c r="N83">
        <v>119.4</v>
      </c>
      <c r="O83">
        <v>128.69999999999999</v>
      </c>
      <c r="P83" s="1">
        <f t="shared" si="5"/>
        <v>1457.7999999999997</v>
      </c>
      <c r="Q83">
        <v>123.6</v>
      </c>
      <c r="R83">
        <v>125.7</v>
      </c>
      <c r="S83" s="1">
        <f t="shared" si="6"/>
        <v>472.9</v>
      </c>
      <c r="T83">
        <v>126.4</v>
      </c>
      <c r="U83">
        <v>123.3</v>
      </c>
      <c r="V83" s="1">
        <f t="shared" si="7"/>
        <v>375.7</v>
      </c>
      <c r="W83">
        <v>126</v>
      </c>
      <c r="X83">
        <v>119.2</v>
      </c>
      <c r="Y83" s="1">
        <f t="shared" si="8"/>
        <v>240.10000000000002</v>
      </c>
      <c r="Z83">
        <v>121.2</v>
      </c>
      <c r="AA83">
        <v>120.9</v>
      </c>
      <c r="AB83">
        <v>118.6</v>
      </c>
      <c r="AC83">
        <v>111.9</v>
      </c>
      <c r="AD83">
        <v>116.2</v>
      </c>
      <c r="AE83">
        <v>119.9</v>
      </c>
      <c r="AF83">
        <v>111.6</v>
      </c>
      <c r="AG83">
        <v>116</v>
      </c>
      <c r="AH83">
        <v>121.5</v>
      </c>
      <c r="AI83">
        <f>SUM('Cleaned Data'!AC83,'Cleaned Data'!AE83,'Cleaned Data'!Z83,'Cleaned Data'!AA83)</f>
        <v>473.9</v>
      </c>
      <c r="AJ83" s="1">
        <f t="shared" si="9"/>
        <v>118.47500000000001</v>
      </c>
    </row>
    <row r="84" spans="1:36">
      <c r="A84" t="s">
        <v>94</v>
      </c>
      <c r="B84">
        <v>2015</v>
      </c>
      <c r="C84" t="s">
        <v>19</v>
      </c>
      <c r="D84">
        <v>123.8</v>
      </c>
      <c r="E84">
        <v>128.19999999999999</v>
      </c>
      <c r="F84">
        <v>110</v>
      </c>
      <c r="G84">
        <v>126.3</v>
      </c>
      <c r="H84">
        <v>104.5</v>
      </c>
      <c r="I84">
        <v>130.6</v>
      </c>
      <c r="J84">
        <v>130.80000000000001</v>
      </c>
      <c r="K84">
        <v>131.30000000000001</v>
      </c>
      <c r="L84">
        <v>91.6</v>
      </c>
      <c r="M84">
        <v>127.7</v>
      </c>
      <c r="N84">
        <v>117.2</v>
      </c>
      <c r="O84">
        <v>129.5</v>
      </c>
      <c r="P84" s="1">
        <f t="shared" si="5"/>
        <v>1458.8999999999999</v>
      </c>
      <c r="Q84">
        <v>124.6</v>
      </c>
      <c r="R84">
        <v>130.1</v>
      </c>
      <c r="S84" s="1">
        <f t="shared" si="6"/>
        <v>474.7</v>
      </c>
      <c r="T84">
        <v>122.1</v>
      </c>
      <c r="U84">
        <v>117.2</v>
      </c>
      <c r="V84" s="1">
        <f t="shared" si="7"/>
        <v>360.6</v>
      </c>
      <c r="W84">
        <v>121.3</v>
      </c>
      <c r="X84">
        <v>119.2</v>
      </c>
      <c r="Y84" s="1">
        <f t="shared" si="8"/>
        <v>237.60000000000002</v>
      </c>
      <c r="Z84">
        <v>114.7</v>
      </c>
      <c r="AA84">
        <v>118.4</v>
      </c>
      <c r="AB84">
        <v>114.6</v>
      </c>
      <c r="AC84">
        <v>108.4</v>
      </c>
      <c r="AD84">
        <v>115.6</v>
      </c>
      <c r="AE84">
        <v>121.7</v>
      </c>
      <c r="AF84">
        <v>111.8</v>
      </c>
      <c r="AG84">
        <v>114.2</v>
      </c>
      <c r="AH84">
        <v>119.7</v>
      </c>
      <c r="AI84">
        <f>SUM('Cleaned Data'!AC84,'Cleaned Data'!AE84,'Cleaned Data'!Z84,'Cleaned Data'!AA84)</f>
        <v>463.20000000000005</v>
      </c>
      <c r="AJ84" s="1">
        <f t="shared" si="9"/>
        <v>115.8</v>
      </c>
    </row>
    <row r="85" spans="1:36">
      <c r="A85" t="s">
        <v>6</v>
      </c>
      <c r="B85">
        <v>2015</v>
      </c>
      <c r="C85" t="s">
        <v>19</v>
      </c>
      <c r="D85">
        <v>123.5</v>
      </c>
      <c r="E85">
        <v>126.4</v>
      </c>
      <c r="F85">
        <v>114.4</v>
      </c>
      <c r="G85">
        <v>126.6</v>
      </c>
      <c r="H85">
        <v>109.2</v>
      </c>
      <c r="I85">
        <v>132.5</v>
      </c>
      <c r="J85">
        <v>128.6</v>
      </c>
      <c r="K85">
        <v>124.8</v>
      </c>
      <c r="L85">
        <v>95.7</v>
      </c>
      <c r="M85">
        <v>122.4</v>
      </c>
      <c r="N85">
        <v>118.5</v>
      </c>
      <c r="O85">
        <v>129.1</v>
      </c>
      <c r="P85" s="1">
        <f t="shared" si="5"/>
        <v>1457.2000000000003</v>
      </c>
      <c r="Q85">
        <v>124</v>
      </c>
      <c r="R85">
        <v>126.9</v>
      </c>
      <c r="S85" s="1">
        <f t="shared" si="6"/>
        <v>473</v>
      </c>
      <c r="T85">
        <v>124.7</v>
      </c>
      <c r="U85">
        <v>120.8</v>
      </c>
      <c r="V85" s="1">
        <f t="shared" si="7"/>
        <v>369.6</v>
      </c>
      <c r="W85">
        <v>124.1</v>
      </c>
      <c r="X85">
        <v>119.2</v>
      </c>
      <c r="Y85" s="1">
        <f t="shared" si="8"/>
        <v>238.9</v>
      </c>
      <c r="Z85">
        <v>118.7</v>
      </c>
      <c r="AA85">
        <v>119.7</v>
      </c>
      <c r="AB85">
        <v>117.1</v>
      </c>
      <c r="AC85">
        <v>110.1</v>
      </c>
      <c r="AD85">
        <v>115.9</v>
      </c>
      <c r="AE85">
        <v>121</v>
      </c>
      <c r="AF85">
        <v>111.7</v>
      </c>
      <c r="AG85">
        <v>115.1</v>
      </c>
      <c r="AH85">
        <v>120.7</v>
      </c>
      <c r="AI85">
        <f>SUM('Cleaned Data'!AC85,'Cleaned Data'!AE85,'Cleaned Data'!Z85,'Cleaned Data'!AA85)</f>
        <v>469.5</v>
      </c>
      <c r="AJ85" s="1">
        <f t="shared" si="9"/>
        <v>117.375</v>
      </c>
    </row>
    <row r="86" spans="1:36">
      <c r="A86" t="s">
        <v>93</v>
      </c>
      <c r="B86">
        <v>2015</v>
      </c>
      <c r="C86" t="s">
        <v>21</v>
      </c>
      <c r="D86">
        <v>123.5</v>
      </c>
      <c r="E86">
        <v>127.1</v>
      </c>
      <c r="F86">
        <v>117.3</v>
      </c>
      <c r="G86">
        <v>127.7</v>
      </c>
      <c r="H86">
        <v>112.5</v>
      </c>
      <c r="I86">
        <v>134.1</v>
      </c>
      <c r="J86">
        <v>128.5</v>
      </c>
      <c r="K86">
        <v>124.3</v>
      </c>
      <c r="L86">
        <v>97.6</v>
      </c>
      <c r="M86">
        <v>120.7</v>
      </c>
      <c r="N86">
        <v>120.2</v>
      </c>
      <c r="O86">
        <v>129.80000000000001</v>
      </c>
      <c r="P86" s="1">
        <f t="shared" si="5"/>
        <v>1467.5000000000002</v>
      </c>
      <c r="Q86">
        <v>124.4</v>
      </c>
      <c r="R86">
        <v>126.7</v>
      </c>
      <c r="S86" s="1">
        <f t="shared" si="6"/>
        <v>475.90000000000003</v>
      </c>
      <c r="T86">
        <v>127.3</v>
      </c>
      <c r="U86">
        <v>124.1</v>
      </c>
      <c r="V86" s="1">
        <f t="shared" si="7"/>
        <v>378.2</v>
      </c>
      <c r="W86">
        <v>126.8</v>
      </c>
      <c r="X86">
        <v>119.6</v>
      </c>
      <c r="Y86" s="1">
        <f t="shared" si="8"/>
        <v>241.1</v>
      </c>
      <c r="Z86">
        <v>121.9</v>
      </c>
      <c r="AA86">
        <v>121.5</v>
      </c>
      <c r="AB86">
        <v>119.4</v>
      </c>
      <c r="AC86">
        <v>113.3</v>
      </c>
      <c r="AD86">
        <v>116.7</v>
      </c>
      <c r="AE86">
        <v>120.5</v>
      </c>
      <c r="AF86">
        <v>112.3</v>
      </c>
      <c r="AG86">
        <v>116.9</v>
      </c>
      <c r="AH86">
        <v>122.4</v>
      </c>
      <c r="AI86">
        <f>SUM('Cleaned Data'!AC86,'Cleaned Data'!AE86,'Cleaned Data'!Z86,'Cleaned Data'!AA86)</f>
        <v>477.20000000000005</v>
      </c>
      <c r="AJ86" s="1">
        <f t="shared" si="9"/>
        <v>119.30000000000001</v>
      </c>
    </row>
    <row r="87" spans="1:36">
      <c r="A87" t="s">
        <v>94</v>
      </c>
      <c r="B87">
        <v>2015</v>
      </c>
      <c r="C87" t="s">
        <v>21</v>
      </c>
      <c r="D87">
        <v>123.8</v>
      </c>
      <c r="E87">
        <v>129.69999999999999</v>
      </c>
      <c r="F87">
        <v>111.3</v>
      </c>
      <c r="G87">
        <v>126.6</v>
      </c>
      <c r="H87">
        <v>105.2</v>
      </c>
      <c r="I87">
        <v>130.80000000000001</v>
      </c>
      <c r="J87">
        <v>135.6</v>
      </c>
      <c r="K87">
        <v>142.6</v>
      </c>
      <c r="L87">
        <v>90.8</v>
      </c>
      <c r="M87">
        <v>128.80000000000001</v>
      </c>
      <c r="N87">
        <v>117.7</v>
      </c>
      <c r="O87">
        <v>129.9</v>
      </c>
      <c r="P87" s="1">
        <f t="shared" si="5"/>
        <v>1481.2</v>
      </c>
      <c r="Q87">
        <v>126.1</v>
      </c>
      <c r="R87">
        <v>131.30000000000001</v>
      </c>
      <c r="S87" s="1">
        <f t="shared" si="6"/>
        <v>477.4</v>
      </c>
      <c r="T87">
        <v>122.4</v>
      </c>
      <c r="U87">
        <v>117.4</v>
      </c>
      <c r="V87" s="1">
        <f t="shared" si="7"/>
        <v>361.4</v>
      </c>
      <c r="W87">
        <v>121.6</v>
      </c>
      <c r="X87">
        <v>119.6</v>
      </c>
      <c r="Y87" s="1">
        <f t="shared" si="8"/>
        <v>238.3</v>
      </c>
      <c r="Z87">
        <v>114.9</v>
      </c>
      <c r="AA87">
        <v>118.7</v>
      </c>
      <c r="AB87">
        <v>114.9</v>
      </c>
      <c r="AC87">
        <v>110.8</v>
      </c>
      <c r="AD87">
        <v>116</v>
      </c>
      <c r="AE87">
        <v>122</v>
      </c>
      <c r="AF87">
        <v>112.4</v>
      </c>
      <c r="AG87">
        <v>115.2</v>
      </c>
      <c r="AH87">
        <v>120.7</v>
      </c>
      <c r="AI87">
        <f>SUM('Cleaned Data'!AC87,'Cleaned Data'!AE87,'Cleaned Data'!Z87,'Cleaned Data'!AA87)</f>
        <v>466.40000000000003</v>
      </c>
      <c r="AJ87" s="1">
        <f t="shared" si="9"/>
        <v>116.6</v>
      </c>
    </row>
    <row r="88" spans="1:36">
      <c r="A88" t="s">
        <v>6</v>
      </c>
      <c r="B88">
        <v>2015</v>
      </c>
      <c r="C88" t="s">
        <v>21</v>
      </c>
      <c r="D88">
        <v>123.6</v>
      </c>
      <c r="E88">
        <v>128</v>
      </c>
      <c r="F88">
        <v>115</v>
      </c>
      <c r="G88">
        <v>127.3</v>
      </c>
      <c r="H88">
        <v>109.8</v>
      </c>
      <c r="I88">
        <v>132.6</v>
      </c>
      <c r="J88">
        <v>130.9</v>
      </c>
      <c r="K88">
        <v>130.5</v>
      </c>
      <c r="L88">
        <v>95.3</v>
      </c>
      <c r="M88">
        <v>123.4</v>
      </c>
      <c r="N88">
        <v>119.2</v>
      </c>
      <c r="O88">
        <v>129.80000000000001</v>
      </c>
      <c r="P88" s="1">
        <f t="shared" si="5"/>
        <v>1471.1999999999998</v>
      </c>
      <c r="Q88">
        <v>125</v>
      </c>
      <c r="R88">
        <v>127.9</v>
      </c>
      <c r="S88" s="1">
        <f t="shared" si="6"/>
        <v>475.70000000000005</v>
      </c>
      <c r="T88">
        <v>125.4</v>
      </c>
      <c r="U88">
        <v>121.3</v>
      </c>
      <c r="V88" s="1">
        <f t="shared" si="7"/>
        <v>371.4</v>
      </c>
      <c r="W88">
        <v>124.7</v>
      </c>
      <c r="X88">
        <v>119.6</v>
      </c>
      <c r="Y88" s="1">
        <f t="shared" si="8"/>
        <v>239.8</v>
      </c>
      <c r="Z88">
        <v>119.2</v>
      </c>
      <c r="AA88">
        <v>120.2</v>
      </c>
      <c r="AB88">
        <v>117.7</v>
      </c>
      <c r="AC88">
        <v>112</v>
      </c>
      <c r="AD88">
        <v>116.3</v>
      </c>
      <c r="AE88">
        <v>121.4</v>
      </c>
      <c r="AF88">
        <v>112.3</v>
      </c>
      <c r="AG88">
        <v>116.1</v>
      </c>
      <c r="AH88">
        <v>121.6</v>
      </c>
      <c r="AI88">
        <f>SUM('Cleaned Data'!AC88,'Cleaned Data'!AE88,'Cleaned Data'!Z88,'Cleaned Data'!AA88)</f>
        <v>472.8</v>
      </c>
      <c r="AJ88" s="1">
        <f t="shared" si="9"/>
        <v>118.2</v>
      </c>
    </row>
    <row r="89" spans="1:36">
      <c r="A89" t="s">
        <v>93</v>
      </c>
      <c r="B89">
        <v>2015</v>
      </c>
      <c r="C89" t="s">
        <v>23</v>
      </c>
      <c r="D89">
        <v>124.1</v>
      </c>
      <c r="E89">
        <v>130.4</v>
      </c>
      <c r="F89">
        <v>122.1</v>
      </c>
      <c r="G89">
        <v>128.69999999999999</v>
      </c>
      <c r="H89">
        <v>114.1</v>
      </c>
      <c r="I89">
        <v>133.19999999999999</v>
      </c>
      <c r="J89">
        <v>135.19999999999999</v>
      </c>
      <c r="K89">
        <v>131.9</v>
      </c>
      <c r="L89">
        <v>96.3</v>
      </c>
      <c r="M89">
        <v>123</v>
      </c>
      <c r="N89">
        <v>121.1</v>
      </c>
      <c r="O89">
        <v>131.19999999999999</v>
      </c>
      <c r="P89" s="1">
        <f t="shared" si="5"/>
        <v>1496.7999999999997</v>
      </c>
      <c r="Q89">
        <v>126.6</v>
      </c>
      <c r="R89">
        <v>128.19999999999999</v>
      </c>
      <c r="S89" s="1">
        <f t="shared" si="6"/>
        <v>480.2</v>
      </c>
      <c r="T89">
        <v>128.4</v>
      </c>
      <c r="U89">
        <v>125.1</v>
      </c>
      <c r="V89" s="1">
        <f t="shared" si="7"/>
        <v>381.5</v>
      </c>
      <c r="W89">
        <v>128</v>
      </c>
      <c r="X89">
        <v>119</v>
      </c>
      <c r="Y89" s="1">
        <f t="shared" si="8"/>
        <v>241.8</v>
      </c>
      <c r="Z89">
        <v>122.6</v>
      </c>
      <c r="AA89">
        <v>122.8</v>
      </c>
      <c r="AB89">
        <v>120.4</v>
      </c>
      <c r="AC89">
        <v>114.2</v>
      </c>
      <c r="AD89">
        <v>117.9</v>
      </c>
      <c r="AE89">
        <v>122</v>
      </c>
      <c r="AF89">
        <v>113</v>
      </c>
      <c r="AG89">
        <v>117.9</v>
      </c>
      <c r="AH89">
        <v>124.1</v>
      </c>
      <c r="AI89">
        <f>SUM('Cleaned Data'!AC89,'Cleaned Data'!AE89,'Cleaned Data'!Z89,'Cleaned Data'!AA89)</f>
        <v>481.59999999999997</v>
      </c>
      <c r="AJ89" s="1">
        <f t="shared" si="9"/>
        <v>120.4</v>
      </c>
    </row>
    <row r="90" spans="1:36">
      <c r="A90" t="s">
        <v>94</v>
      </c>
      <c r="B90">
        <v>2015</v>
      </c>
      <c r="C90" t="s">
        <v>23</v>
      </c>
      <c r="D90">
        <v>123.6</v>
      </c>
      <c r="E90">
        <v>134.4</v>
      </c>
      <c r="F90">
        <v>120.9</v>
      </c>
      <c r="G90">
        <v>127.3</v>
      </c>
      <c r="H90">
        <v>106</v>
      </c>
      <c r="I90">
        <v>132.30000000000001</v>
      </c>
      <c r="J90">
        <v>146.69999999999999</v>
      </c>
      <c r="K90">
        <v>148.1</v>
      </c>
      <c r="L90">
        <v>89.8</v>
      </c>
      <c r="M90">
        <v>130.5</v>
      </c>
      <c r="N90">
        <v>118</v>
      </c>
      <c r="O90">
        <v>130.5</v>
      </c>
      <c r="P90" s="1">
        <f t="shared" si="5"/>
        <v>1518.6</v>
      </c>
      <c r="Q90">
        <v>128.5</v>
      </c>
      <c r="R90">
        <v>132.1</v>
      </c>
      <c r="S90" s="1">
        <f t="shared" si="6"/>
        <v>478.8</v>
      </c>
      <c r="T90">
        <v>123.2</v>
      </c>
      <c r="U90">
        <v>117.6</v>
      </c>
      <c r="V90" s="1">
        <f t="shared" si="7"/>
        <v>363.1</v>
      </c>
      <c r="W90">
        <v>122.3</v>
      </c>
      <c r="X90">
        <v>119</v>
      </c>
      <c r="Y90" s="1">
        <f t="shared" si="8"/>
        <v>238.2</v>
      </c>
      <c r="Z90">
        <v>115.1</v>
      </c>
      <c r="AA90">
        <v>119.2</v>
      </c>
      <c r="AB90">
        <v>115.4</v>
      </c>
      <c r="AC90">
        <v>111.7</v>
      </c>
      <c r="AD90">
        <v>116.2</v>
      </c>
      <c r="AE90">
        <v>123.8</v>
      </c>
      <c r="AF90">
        <v>112.5</v>
      </c>
      <c r="AG90">
        <v>116</v>
      </c>
      <c r="AH90">
        <v>121.7</v>
      </c>
      <c r="AI90">
        <f>SUM('Cleaned Data'!AC90,'Cleaned Data'!AE90,'Cleaned Data'!Z90,'Cleaned Data'!AA90)</f>
        <v>469.8</v>
      </c>
      <c r="AJ90" s="1">
        <f t="shared" si="9"/>
        <v>117.44999999999999</v>
      </c>
    </row>
    <row r="91" spans="1:36">
      <c r="A91" t="s">
        <v>6</v>
      </c>
      <c r="B91">
        <v>2015</v>
      </c>
      <c r="C91" t="s">
        <v>23</v>
      </c>
      <c r="D91">
        <v>123.9</v>
      </c>
      <c r="E91">
        <v>131.80000000000001</v>
      </c>
      <c r="F91">
        <v>121.6</v>
      </c>
      <c r="G91">
        <v>128.19999999999999</v>
      </c>
      <c r="H91">
        <v>111.1</v>
      </c>
      <c r="I91">
        <v>132.80000000000001</v>
      </c>
      <c r="J91">
        <v>139.1</v>
      </c>
      <c r="K91">
        <v>137.4</v>
      </c>
      <c r="L91">
        <v>94.1</v>
      </c>
      <c r="M91">
        <v>125.5</v>
      </c>
      <c r="N91">
        <v>119.8</v>
      </c>
      <c r="O91">
        <v>130.9</v>
      </c>
      <c r="P91" s="1">
        <f t="shared" si="5"/>
        <v>1503.6999999999998</v>
      </c>
      <c r="Q91">
        <v>127.3</v>
      </c>
      <c r="R91">
        <v>129.19999999999999</v>
      </c>
      <c r="S91" s="1">
        <f t="shared" si="6"/>
        <v>478.7</v>
      </c>
      <c r="T91">
        <v>126.4</v>
      </c>
      <c r="U91">
        <v>122</v>
      </c>
      <c r="V91" s="1">
        <f t="shared" si="7"/>
        <v>374.1</v>
      </c>
      <c r="W91">
        <v>125.7</v>
      </c>
      <c r="X91">
        <v>119</v>
      </c>
      <c r="Y91" s="1">
        <f t="shared" si="8"/>
        <v>240.1</v>
      </c>
      <c r="Z91">
        <v>119.8</v>
      </c>
      <c r="AA91">
        <v>121.1</v>
      </c>
      <c r="AB91">
        <v>118.5</v>
      </c>
      <c r="AC91">
        <v>112.9</v>
      </c>
      <c r="AD91">
        <v>116.9</v>
      </c>
      <c r="AE91">
        <v>123.1</v>
      </c>
      <c r="AF91">
        <v>112.8</v>
      </c>
      <c r="AG91">
        <v>117</v>
      </c>
      <c r="AH91">
        <v>123</v>
      </c>
      <c r="AI91">
        <f>SUM('Cleaned Data'!AC91,'Cleaned Data'!AE91,'Cleaned Data'!Z91,'Cleaned Data'!AA91)</f>
        <v>476.9</v>
      </c>
      <c r="AJ91" s="1">
        <f t="shared" si="9"/>
        <v>119.22500000000001</v>
      </c>
    </row>
    <row r="92" spans="1:36">
      <c r="A92" t="s">
        <v>93</v>
      </c>
      <c r="B92">
        <v>2015</v>
      </c>
      <c r="C92" t="s">
        <v>25</v>
      </c>
      <c r="D92">
        <v>124</v>
      </c>
      <c r="E92">
        <v>131.5</v>
      </c>
      <c r="F92">
        <v>122</v>
      </c>
      <c r="G92">
        <v>128.69999999999999</v>
      </c>
      <c r="H92">
        <v>113.5</v>
      </c>
      <c r="I92">
        <v>133.30000000000001</v>
      </c>
      <c r="J92">
        <v>140.80000000000001</v>
      </c>
      <c r="K92">
        <v>133.80000000000001</v>
      </c>
      <c r="L92">
        <v>94.1</v>
      </c>
      <c r="M92">
        <v>123.4</v>
      </c>
      <c r="N92">
        <v>121</v>
      </c>
      <c r="O92">
        <v>131.69999999999999</v>
      </c>
      <c r="P92" s="1">
        <f t="shared" si="5"/>
        <v>1504.3</v>
      </c>
      <c r="Q92">
        <v>127.5</v>
      </c>
      <c r="R92">
        <v>129.4</v>
      </c>
      <c r="S92" s="1">
        <f t="shared" si="6"/>
        <v>481.09999999999997</v>
      </c>
      <c r="T92">
        <v>128.80000000000001</v>
      </c>
      <c r="U92">
        <v>125.5</v>
      </c>
      <c r="V92" s="1">
        <f t="shared" si="7"/>
        <v>382.6</v>
      </c>
      <c r="W92">
        <v>128.30000000000001</v>
      </c>
      <c r="X92">
        <v>119.9</v>
      </c>
      <c r="Y92" s="1">
        <f t="shared" si="8"/>
        <v>242.9</v>
      </c>
      <c r="Z92">
        <v>123</v>
      </c>
      <c r="AA92">
        <v>123</v>
      </c>
      <c r="AB92">
        <v>120.8</v>
      </c>
      <c r="AC92">
        <v>114.1</v>
      </c>
      <c r="AD92">
        <v>118</v>
      </c>
      <c r="AE92">
        <v>122.9</v>
      </c>
      <c r="AF92">
        <v>112.7</v>
      </c>
      <c r="AG92">
        <v>118.1</v>
      </c>
      <c r="AH92">
        <v>124.7</v>
      </c>
      <c r="AI92">
        <f>SUM('Cleaned Data'!AC92,'Cleaned Data'!AE92,'Cleaned Data'!Z92,'Cleaned Data'!AA92)</f>
        <v>483</v>
      </c>
      <c r="AJ92" s="1">
        <f t="shared" si="9"/>
        <v>120.75</v>
      </c>
    </row>
    <row r="93" spans="1:36">
      <c r="A93" t="s">
        <v>94</v>
      </c>
      <c r="B93">
        <v>2015</v>
      </c>
      <c r="C93" t="s">
        <v>25</v>
      </c>
      <c r="D93">
        <v>123.2</v>
      </c>
      <c r="E93">
        <v>134.30000000000001</v>
      </c>
      <c r="F93">
        <v>119.5</v>
      </c>
      <c r="G93">
        <v>127.7</v>
      </c>
      <c r="H93">
        <v>106.3</v>
      </c>
      <c r="I93">
        <v>132.80000000000001</v>
      </c>
      <c r="J93">
        <v>153.5</v>
      </c>
      <c r="K93">
        <v>149.5</v>
      </c>
      <c r="L93">
        <v>85.7</v>
      </c>
      <c r="M93">
        <v>131.5</v>
      </c>
      <c r="N93">
        <v>118.3</v>
      </c>
      <c r="O93">
        <v>131.1</v>
      </c>
      <c r="P93" s="1">
        <f t="shared" si="5"/>
        <v>1524.6</v>
      </c>
      <c r="Q93">
        <v>129.5</v>
      </c>
      <c r="R93">
        <v>133.1</v>
      </c>
      <c r="S93" s="1">
        <f t="shared" si="6"/>
        <v>479.7</v>
      </c>
      <c r="T93">
        <v>123.5</v>
      </c>
      <c r="U93">
        <v>117.9</v>
      </c>
      <c r="V93" s="1">
        <f t="shared" si="7"/>
        <v>364.1</v>
      </c>
      <c r="W93">
        <v>122.7</v>
      </c>
      <c r="X93">
        <v>119.9</v>
      </c>
      <c r="Y93" s="1">
        <f t="shared" si="8"/>
        <v>239.4</v>
      </c>
      <c r="Z93">
        <v>115.3</v>
      </c>
      <c r="AA93">
        <v>119.5</v>
      </c>
      <c r="AB93">
        <v>116</v>
      </c>
      <c r="AC93">
        <v>111.5</v>
      </c>
      <c r="AD93">
        <v>116.6</v>
      </c>
      <c r="AE93">
        <v>125.4</v>
      </c>
      <c r="AF93">
        <v>111.7</v>
      </c>
      <c r="AG93">
        <v>116.3</v>
      </c>
      <c r="AH93">
        <v>122.4</v>
      </c>
      <c r="AI93">
        <f>SUM('Cleaned Data'!AC93,'Cleaned Data'!AE93,'Cleaned Data'!Z93,'Cleaned Data'!AA93)</f>
        <v>471.7</v>
      </c>
      <c r="AJ93" s="1">
        <f t="shared" si="9"/>
        <v>117.925</v>
      </c>
    </row>
    <row r="94" spans="1:36">
      <c r="A94" t="s">
        <v>6</v>
      </c>
      <c r="B94">
        <v>2015</v>
      </c>
      <c r="C94" t="s">
        <v>25</v>
      </c>
      <c r="D94">
        <v>123.7</v>
      </c>
      <c r="E94">
        <v>132.5</v>
      </c>
      <c r="F94">
        <v>121</v>
      </c>
      <c r="G94">
        <v>128.30000000000001</v>
      </c>
      <c r="H94">
        <v>110.9</v>
      </c>
      <c r="I94">
        <v>133.1</v>
      </c>
      <c r="J94">
        <v>145.1</v>
      </c>
      <c r="K94">
        <v>139.1</v>
      </c>
      <c r="L94">
        <v>91.3</v>
      </c>
      <c r="M94">
        <v>126.1</v>
      </c>
      <c r="N94">
        <v>119.9</v>
      </c>
      <c r="O94">
        <v>131.4</v>
      </c>
      <c r="P94" s="1">
        <f t="shared" si="5"/>
        <v>1510.7</v>
      </c>
      <c r="Q94">
        <v>128.19999999999999</v>
      </c>
      <c r="R94">
        <v>130.4</v>
      </c>
      <c r="S94" s="1">
        <f t="shared" si="6"/>
        <v>479.8</v>
      </c>
      <c r="T94">
        <v>126.7</v>
      </c>
      <c r="U94">
        <v>122.3</v>
      </c>
      <c r="V94" s="1">
        <f t="shared" si="7"/>
        <v>375.1</v>
      </c>
      <c r="W94">
        <v>126.1</v>
      </c>
      <c r="X94">
        <v>119.9</v>
      </c>
      <c r="Y94" s="1">
        <f t="shared" si="8"/>
        <v>241.2</v>
      </c>
      <c r="Z94">
        <v>120.1</v>
      </c>
      <c r="AA94">
        <v>121.3</v>
      </c>
      <c r="AB94">
        <v>119</v>
      </c>
      <c r="AC94">
        <v>112.7</v>
      </c>
      <c r="AD94">
        <v>117.2</v>
      </c>
      <c r="AE94">
        <v>124.4</v>
      </c>
      <c r="AF94">
        <v>112.3</v>
      </c>
      <c r="AG94">
        <v>117.2</v>
      </c>
      <c r="AH94">
        <v>123.6</v>
      </c>
      <c r="AI94">
        <f>SUM('Cleaned Data'!AC94,'Cleaned Data'!AE94,'Cleaned Data'!Z94,'Cleaned Data'!AA94)</f>
        <v>478.50000000000006</v>
      </c>
      <c r="AJ94" s="1">
        <f t="shared" si="9"/>
        <v>119.625</v>
      </c>
    </row>
    <row r="95" spans="1:36">
      <c r="A95" t="s">
        <v>93</v>
      </c>
      <c r="B95">
        <v>2015</v>
      </c>
      <c r="C95" t="s">
        <v>27</v>
      </c>
      <c r="D95">
        <v>124.7</v>
      </c>
      <c r="E95">
        <v>131.30000000000001</v>
      </c>
      <c r="F95">
        <v>121.3</v>
      </c>
      <c r="G95">
        <v>128.80000000000001</v>
      </c>
      <c r="H95">
        <v>114</v>
      </c>
      <c r="I95">
        <v>134.19999999999999</v>
      </c>
      <c r="J95">
        <v>153.6</v>
      </c>
      <c r="K95">
        <v>137.9</v>
      </c>
      <c r="L95">
        <v>93.1</v>
      </c>
      <c r="M95">
        <v>123.9</v>
      </c>
      <c r="N95">
        <v>121.5</v>
      </c>
      <c r="O95">
        <v>132.5</v>
      </c>
      <c r="P95" s="1">
        <f t="shared" si="5"/>
        <v>1525.1</v>
      </c>
      <c r="Q95">
        <v>129.80000000000001</v>
      </c>
      <c r="R95">
        <v>130.1</v>
      </c>
      <c r="S95" s="1">
        <f t="shared" si="6"/>
        <v>482.6</v>
      </c>
      <c r="T95">
        <v>129.5</v>
      </c>
      <c r="U95">
        <v>126.3</v>
      </c>
      <c r="V95" s="1">
        <f t="shared" si="7"/>
        <v>384.8</v>
      </c>
      <c r="W95">
        <v>129</v>
      </c>
      <c r="X95">
        <v>120.9</v>
      </c>
      <c r="Y95" s="1">
        <f t="shared" si="8"/>
        <v>244.60000000000002</v>
      </c>
      <c r="Z95">
        <v>123.8</v>
      </c>
      <c r="AA95">
        <v>123.7</v>
      </c>
      <c r="AB95">
        <v>121.1</v>
      </c>
      <c r="AC95">
        <v>113.6</v>
      </c>
      <c r="AD95">
        <v>118.5</v>
      </c>
      <c r="AE95">
        <v>123.6</v>
      </c>
      <c r="AF95">
        <v>112.5</v>
      </c>
      <c r="AG95">
        <v>118.2</v>
      </c>
      <c r="AH95">
        <v>126.1</v>
      </c>
      <c r="AI95">
        <f>SUM('Cleaned Data'!AC95,'Cleaned Data'!AE95,'Cleaned Data'!Z95,'Cleaned Data'!AA95)</f>
        <v>484.7</v>
      </c>
      <c r="AJ95" s="1">
        <f t="shared" si="9"/>
        <v>121.175</v>
      </c>
    </row>
    <row r="96" spans="1:36">
      <c r="A96" t="s">
        <v>94</v>
      </c>
      <c r="B96">
        <v>2015</v>
      </c>
      <c r="C96" t="s">
        <v>27</v>
      </c>
      <c r="D96">
        <v>123.1</v>
      </c>
      <c r="E96">
        <v>131.69999999999999</v>
      </c>
      <c r="F96">
        <v>118.1</v>
      </c>
      <c r="G96">
        <v>128</v>
      </c>
      <c r="H96">
        <v>106.8</v>
      </c>
      <c r="I96">
        <v>130.1</v>
      </c>
      <c r="J96">
        <v>165.5</v>
      </c>
      <c r="K96">
        <v>156</v>
      </c>
      <c r="L96">
        <v>85.3</v>
      </c>
      <c r="M96">
        <v>132.69999999999999</v>
      </c>
      <c r="N96">
        <v>118.8</v>
      </c>
      <c r="O96">
        <v>131.69999999999999</v>
      </c>
      <c r="P96" s="1">
        <f t="shared" si="5"/>
        <v>1540.0999999999997</v>
      </c>
      <c r="Q96">
        <v>131.1</v>
      </c>
      <c r="R96">
        <v>134.19999999999999</v>
      </c>
      <c r="S96" s="1">
        <f t="shared" si="6"/>
        <v>482.2</v>
      </c>
      <c r="T96">
        <v>123.7</v>
      </c>
      <c r="U96">
        <v>118.2</v>
      </c>
      <c r="V96" s="1">
        <f t="shared" si="7"/>
        <v>364.8</v>
      </c>
      <c r="W96">
        <v>122.9</v>
      </c>
      <c r="X96">
        <v>120.9</v>
      </c>
      <c r="Y96" s="1">
        <f t="shared" si="8"/>
        <v>240.9</v>
      </c>
      <c r="Z96">
        <v>115.3</v>
      </c>
      <c r="AA96">
        <v>120</v>
      </c>
      <c r="AB96">
        <v>116.6</v>
      </c>
      <c r="AC96">
        <v>109.9</v>
      </c>
      <c r="AD96">
        <v>117.2</v>
      </c>
      <c r="AE96">
        <v>126.2</v>
      </c>
      <c r="AF96">
        <v>112</v>
      </c>
      <c r="AG96">
        <v>116.2</v>
      </c>
      <c r="AH96">
        <v>123.2</v>
      </c>
      <c r="AI96">
        <f>SUM('Cleaned Data'!AC96,'Cleaned Data'!AE96,'Cleaned Data'!Z96,'Cleaned Data'!AA96)</f>
        <v>471.40000000000003</v>
      </c>
      <c r="AJ96" s="1">
        <f t="shared" si="9"/>
        <v>117.85000000000001</v>
      </c>
    </row>
    <row r="97" spans="1:36">
      <c r="A97" t="s">
        <v>6</v>
      </c>
      <c r="B97">
        <v>2015</v>
      </c>
      <c r="C97" t="s">
        <v>27</v>
      </c>
      <c r="D97">
        <v>124.2</v>
      </c>
      <c r="E97">
        <v>131.4</v>
      </c>
      <c r="F97">
        <v>120.1</v>
      </c>
      <c r="G97">
        <v>128.5</v>
      </c>
      <c r="H97">
        <v>111.4</v>
      </c>
      <c r="I97">
        <v>132.30000000000001</v>
      </c>
      <c r="J97">
        <v>157.6</v>
      </c>
      <c r="K97">
        <v>144</v>
      </c>
      <c r="L97">
        <v>90.5</v>
      </c>
      <c r="M97">
        <v>126.8</v>
      </c>
      <c r="N97">
        <v>120.4</v>
      </c>
      <c r="O97">
        <v>132.1</v>
      </c>
      <c r="P97" s="1">
        <f t="shared" si="5"/>
        <v>1529.2</v>
      </c>
      <c r="Q97">
        <v>130.30000000000001</v>
      </c>
      <c r="R97">
        <v>131.19999999999999</v>
      </c>
      <c r="S97" s="1">
        <f t="shared" si="6"/>
        <v>481.7</v>
      </c>
      <c r="T97">
        <v>127.2</v>
      </c>
      <c r="U97">
        <v>122.9</v>
      </c>
      <c r="V97" s="1">
        <f t="shared" si="7"/>
        <v>376.70000000000005</v>
      </c>
      <c r="W97">
        <v>126.6</v>
      </c>
      <c r="X97">
        <v>120.9</v>
      </c>
      <c r="Y97" s="1">
        <f t="shared" si="8"/>
        <v>242.9</v>
      </c>
      <c r="Z97">
        <v>120.6</v>
      </c>
      <c r="AA97">
        <v>122</v>
      </c>
      <c r="AB97">
        <v>119.4</v>
      </c>
      <c r="AC97">
        <v>111.7</v>
      </c>
      <c r="AD97">
        <v>117.8</v>
      </c>
      <c r="AE97">
        <v>125.1</v>
      </c>
      <c r="AF97">
        <v>112.3</v>
      </c>
      <c r="AG97">
        <v>117.2</v>
      </c>
      <c r="AH97">
        <v>124.8</v>
      </c>
      <c r="AI97">
        <f>SUM('Cleaned Data'!AC97,'Cleaned Data'!AE97,'Cleaned Data'!Z97,'Cleaned Data'!AA97)</f>
        <v>479.4</v>
      </c>
      <c r="AJ97" s="1">
        <f t="shared" si="9"/>
        <v>119.85</v>
      </c>
    </row>
    <row r="98" spans="1:36">
      <c r="A98" t="s">
        <v>93</v>
      </c>
      <c r="B98">
        <v>2015</v>
      </c>
      <c r="C98" t="s">
        <v>29</v>
      </c>
      <c r="D98">
        <v>125.1</v>
      </c>
      <c r="E98">
        <v>131.1</v>
      </c>
      <c r="F98">
        <v>120.7</v>
      </c>
      <c r="G98">
        <v>129.19999999999999</v>
      </c>
      <c r="H98">
        <v>114.7</v>
      </c>
      <c r="I98">
        <v>132.30000000000001</v>
      </c>
      <c r="J98">
        <v>158.9</v>
      </c>
      <c r="K98">
        <v>142.1</v>
      </c>
      <c r="L98">
        <v>92.5</v>
      </c>
      <c r="M98">
        <v>125.4</v>
      </c>
      <c r="N98">
        <v>121.9</v>
      </c>
      <c r="O98">
        <v>132.69999999999999</v>
      </c>
      <c r="P98" s="1">
        <f t="shared" si="5"/>
        <v>1535.7</v>
      </c>
      <c r="Q98">
        <v>131</v>
      </c>
      <c r="R98">
        <v>131</v>
      </c>
      <c r="S98" s="1">
        <f t="shared" si="6"/>
        <v>486.2</v>
      </c>
      <c r="T98">
        <v>130.4</v>
      </c>
      <c r="U98">
        <v>126.8</v>
      </c>
      <c r="V98" s="1">
        <f t="shared" si="7"/>
        <v>387.1</v>
      </c>
      <c r="W98">
        <v>129.9</v>
      </c>
      <c r="X98">
        <v>121.6</v>
      </c>
      <c r="Y98" s="1">
        <f t="shared" si="8"/>
        <v>246.1</v>
      </c>
      <c r="Z98">
        <v>123.7</v>
      </c>
      <c r="AA98">
        <v>124.5</v>
      </c>
      <c r="AB98">
        <v>121.4</v>
      </c>
      <c r="AC98">
        <v>113.8</v>
      </c>
      <c r="AD98">
        <v>119.6</v>
      </c>
      <c r="AE98">
        <v>124.5</v>
      </c>
      <c r="AF98">
        <v>113.7</v>
      </c>
      <c r="AG98">
        <v>118.8</v>
      </c>
      <c r="AH98">
        <v>127</v>
      </c>
      <c r="AI98">
        <f>SUM('Cleaned Data'!AC98,'Cleaned Data'!AE98,'Cleaned Data'!Z98,'Cleaned Data'!AA98)</f>
        <v>486.5</v>
      </c>
      <c r="AJ98" s="1">
        <f t="shared" si="9"/>
        <v>121.625</v>
      </c>
    </row>
    <row r="99" spans="1:36">
      <c r="A99" t="s">
        <v>94</v>
      </c>
      <c r="B99">
        <v>2015</v>
      </c>
      <c r="C99" t="s">
        <v>29</v>
      </c>
      <c r="D99">
        <v>123.4</v>
      </c>
      <c r="E99">
        <v>129</v>
      </c>
      <c r="F99">
        <v>115.6</v>
      </c>
      <c r="G99">
        <v>128.30000000000001</v>
      </c>
      <c r="H99">
        <v>107</v>
      </c>
      <c r="I99">
        <v>124</v>
      </c>
      <c r="J99">
        <v>168.5</v>
      </c>
      <c r="K99">
        <v>165.4</v>
      </c>
      <c r="L99">
        <v>86.3</v>
      </c>
      <c r="M99">
        <v>134.4</v>
      </c>
      <c r="N99">
        <v>119.1</v>
      </c>
      <c r="O99">
        <v>132.30000000000001</v>
      </c>
      <c r="P99" s="1">
        <f t="shared" si="5"/>
        <v>1545.7</v>
      </c>
      <c r="Q99">
        <v>131.5</v>
      </c>
      <c r="R99">
        <v>134.69999999999999</v>
      </c>
      <c r="S99" s="1">
        <f t="shared" si="6"/>
        <v>484</v>
      </c>
      <c r="T99">
        <v>124</v>
      </c>
      <c r="U99">
        <v>118.6</v>
      </c>
      <c r="V99" s="1">
        <f t="shared" si="7"/>
        <v>365.8</v>
      </c>
      <c r="W99">
        <v>123.2</v>
      </c>
      <c r="X99">
        <v>121.6</v>
      </c>
      <c r="Y99" s="1">
        <f t="shared" si="8"/>
        <v>242</v>
      </c>
      <c r="Z99">
        <v>115.1</v>
      </c>
      <c r="AA99">
        <v>120.4</v>
      </c>
      <c r="AB99">
        <v>117.1</v>
      </c>
      <c r="AC99">
        <v>109.1</v>
      </c>
      <c r="AD99">
        <v>117.3</v>
      </c>
      <c r="AE99">
        <v>126.5</v>
      </c>
      <c r="AF99">
        <v>112.9</v>
      </c>
      <c r="AG99">
        <v>116.2</v>
      </c>
      <c r="AH99">
        <v>123.5</v>
      </c>
      <c r="AI99">
        <f>SUM('Cleaned Data'!AC99,'Cleaned Data'!AE99,'Cleaned Data'!Z99,'Cleaned Data'!AA99)</f>
        <v>471.1</v>
      </c>
      <c r="AJ99" s="1">
        <f t="shared" si="9"/>
        <v>117.77500000000001</v>
      </c>
    </row>
    <row r="100" spans="1:36">
      <c r="A100" t="s">
        <v>6</v>
      </c>
      <c r="B100">
        <v>2015</v>
      </c>
      <c r="C100" t="s">
        <v>29</v>
      </c>
      <c r="D100">
        <v>124.6</v>
      </c>
      <c r="E100">
        <v>130.4</v>
      </c>
      <c r="F100">
        <v>118.7</v>
      </c>
      <c r="G100">
        <v>128.9</v>
      </c>
      <c r="H100">
        <v>111.9</v>
      </c>
      <c r="I100">
        <v>128.4</v>
      </c>
      <c r="J100">
        <v>162.19999999999999</v>
      </c>
      <c r="K100">
        <v>150</v>
      </c>
      <c r="L100">
        <v>90.4</v>
      </c>
      <c r="M100">
        <v>128.4</v>
      </c>
      <c r="N100">
        <v>120.7</v>
      </c>
      <c r="O100">
        <v>132.5</v>
      </c>
      <c r="P100" s="1">
        <f t="shared" si="5"/>
        <v>1537.6000000000001</v>
      </c>
      <c r="Q100">
        <v>131.19999999999999</v>
      </c>
      <c r="R100">
        <v>132</v>
      </c>
      <c r="S100" s="1">
        <f t="shared" si="6"/>
        <v>484.4</v>
      </c>
      <c r="T100">
        <v>127.9</v>
      </c>
      <c r="U100">
        <v>123.4</v>
      </c>
      <c r="V100" s="1">
        <f t="shared" si="7"/>
        <v>378.5</v>
      </c>
      <c r="W100">
        <v>127.2</v>
      </c>
      <c r="X100">
        <v>121.6</v>
      </c>
      <c r="Y100" s="1">
        <f t="shared" si="8"/>
        <v>244.2</v>
      </c>
      <c r="Z100">
        <v>120.4</v>
      </c>
      <c r="AA100">
        <v>122.6</v>
      </c>
      <c r="AB100">
        <v>119.8</v>
      </c>
      <c r="AC100">
        <v>111.3</v>
      </c>
      <c r="AD100">
        <v>118.3</v>
      </c>
      <c r="AE100">
        <v>125.7</v>
      </c>
      <c r="AF100">
        <v>113.4</v>
      </c>
      <c r="AG100">
        <v>117.5</v>
      </c>
      <c r="AH100">
        <v>125.4</v>
      </c>
      <c r="AI100">
        <f>SUM('Cleaned Data'!AC100,'Cleaned Data'!AE100,'Cleaned Data'!Z100,'Cleaned Data'!AA100)</f>
        <v>480</v>
      </c>
      <c r="AJ100" s="1">
        <f t="shared" si="9"/>
        <v>120</v>
      </c>
    </row>
    <row r="101" spans="1:36">
      <c r="A101" t="s">
        <v>93</v>
      </c>
      <c r="B101">
        <v>2015</v>
      </c>
      <c r="C101" t="s">
        <v>31</v>
      </c>
      <c r="D101">
        <v>125.6</v>
      </c>
      <c r="E101">
        <v>130.4</v>
      </c>
      <c r="F101">
        <v>120.8</v>
      </c>
      <c r="G101">
        <v>129.4</v>
      </c>
      <c r="H101">
        <v>115.8</v>
      </c>
      <c r="I101">
        <v>133.19999999999999</v>
      </c>
      <c r="J101">
        <v>157.69999999999999</v>
      </c>
      <c r="K101">
        <v>154.19999999999999</v>
      </c>
      <c r="L101">
        <v>93.7</v>
      </c>
      <c r="M101">
        <v>126.6</v>
      </c>
      <c r="N101">
        <v>122.3</v>
      </c>
      <c r="O101">
        <v>133.1</v>
      </c>
      <c r="P101" s="1">
        <f t="shared" si="5"/>
        <v>1552.3</v>
      </c>
      <c r="Q101">
        <v>131.80000000000001</v>
      </c>
      <c r="R101">
        <v>131.5</v>
      </c>
      <c r="S101" s="1">
        <f t="shared" si="6"/>
        <v>488.09999999999997</v>
      </c>
      <c r="T101">
        <v>131.1</v>
      </c>
      <c r="U101">
        <v>127.3</v>
      </c>
      <c r="V101" s="1">
        <f t="shared" si="7"/>
        <v>389</v>
      </c>
      <c r="W101">
        <v>130.6</v>
      </c>
      <c r="X101">
        <v>122.4</v>
      </c>
      <c r="Y101" s="1">
        <f t="shared" si="8"/>
        <v>247.5</v>
      </c>
      <c r="Z101">
        <v>124.4</v>
      </c>
      <c r="AA101">
        <v>125.1</v>
      </c>
      <c r="AB101">
        <v>122</v>
      </c>
      <c r="AC101">
        <v>113.8</v>
      </c>
      <c r="AD101">
        <v>120.1</v>
      </c>
      <c r="AE101">
        <v>125.1</v>
      </c>
      <c r="AF101">
        <v>114.2</v>
      </c>
      <c r="AG101">
        <v>119.2</v>
      </c>
      <c r="AH101">
        <v>127.7</v>
      </c>
      <c r="AI101">
        <f>SUM('Cleaned Data'!AC101,'Cleaned Data'!AE101,'Cleaned Data'!Z101,'Cleaned Data'!AA101)</f>
        <v>488.4</v>
      </c>
      <c r="AJ101" s="1">
        <f t="shared" si="9"/>
        <v>122.1</v>
      </c>
    </row>
    <row r="102" spans="1:36">
      <c r="A102" t="s">
        <v>94</v>
      </c>
      <c r="B102">
        <v>2015</v>
      </c>
      <c r="C102" t="s">
        <v>31</v>
      </c>
      <c r="D102">
        <v>123.6</v>
      </c>
      <c r="E102">
        <v>128.6</v>
      </c>
      <c r="F102">
        <v>115.9</v>
      </c>
      <c r="G102">
        <v>128.5</v>
      </c>
      <c r="H102">
        <v>109</v>
      </c>
      <c r="I102">
        <v>124.1</v>
      </c>
      <c r="J102">
        <v>165.8</v>
      </c>
      <c r="K102">
        <v>187.2</v>
      </c>
      <c r="L102">
        <v>89.4</v>
      </c>
      <c r="M102">
        <v>135.80000000000001</v>
      </c>
      <c r="N102">
        <v>119.4</v>
      </c>
      <c r="O102">
        <v>132.9</v>
      </c>
      <c r="P102" s="1">
        <f t="shared" si="5"/>
        <v>1573.3999999999996</v>
      </c>
      <c r="Q102">
        <v>132.6</v>
      </c>
      <c r="R102">
        <v>135.30000000000001</v>
      </c>
      <c r="S102" s="1">
        <f t="shared" si="6"/>
        <v>485.90000000000003</v>
      </c>
      <c r="T102">
        <v>124.4</v>
      </c>
      <c r="U102">
        <v>118.8</v>
      </c>
      <c r="V102" s="1">
        <f t="shared" si="7"/>
        <v>366.79999999999995</v>
      </c>
      <c r="W102">
        <v>123.6</v>
      </c>
      <c r="X102">
        <v>122.4</v>
      </c>
      <c r="Y102" s="1">
        <f t="shared" si="8"/>
        <v>243.10000000000002</v>
      </c>
      <c r="Z102">
        <v>114.9</v>
      </c>
      <c r="AA102">
        <v>120.7</v>
      </c>
      <c r="AB102">
        <v>117.7</v>
      </c>
      <c r="AC102">
        <v>109.3</v>
      </c>
      <c r="AD102">
        <v>117.7</v>
      </c>
      <c r="AE102">
        <v>126.5</v>
      </c>
      <c r="AF102">
        <v>113.5</v>
      </c>
      <c r="AG102">
        <v>116.5</v>
      </c>
      <c r="AH102">
        <v>124.2</v>
      </c>
      <c r="AI102">
        <f>SUM('Cleaned Data'!AC102,'Cleaned Data'!AE102,'Cleaned Data'!Z102,'Cleaned Data'!AA102)</f>
        <v>471.40000000000003</v>
      </c>
      <c r="AJ102" s="1">
        <f t="shared" si="9"/>
        <v>117.85</v>
      </c>
    </row>
    <row r="103" spans="1:36">
      <c r="A103" t="s">
        <v>6</v>
      </c>
      <c r="B103">
        <v>2015</v>
      </c>
      <c r="C103" t="s">
        <v>31</v>
      </c>
      <c r="D103">
        <v>125</v>
      </c>
      <c r="E103">
        <v>129.80000000000001</v>
      </c>
      <c r="F103">
        <v>118.9</v>
      </c>
      <c r="G103">
        <v>129.1</v>
      </c>
      <c r="H103">
        <v>113.3</v>
      </c>
      <c r="I103">
        <v>129</v>
      </c>
      <c r="J103">
        <v>160.4</v>
      </c>
      <c r="K103">
        <v>165.3</v>
      </c>
      <c r="L103">
        <v>92.3</v>
      </c>
      <c r="M103">
        <v>129.69999999999999</v>
      </c>
      <c r="N103">
        <v>121.1</v>
      </c>
      <c r="O103">
        <v>133</v>
      </c>
      <c r="P103" s="1">
        <f t="shared" si="5"/>
        <v>1557.8999999999999</v>
      </c>
      <c r="Q103">
        <v>132.1</v>
      </c>
      <c r="R103">
        <v>132.5</v>
      </c>
      <c r="S103" s="1">
        <f t="shared" si="6"/>
        <v>486.20000000000005</v>
      </c>
      <c r="T103">
        <v>128.5</v>
      </c>
      <c r="U103">
        <v>123.8</v>
      </c>
      <c r="V103" s="1">
        <f t="shared" si="7"/>
        <v>380.1</v>
      </c>
      <c r="W103">
        <v>127.8</v>
      </c>
      <c r="X103">
        <v>122.4</v>
      </c>
      <c r="Y103" s="1">
        <f t="shared" si="8"/>
        <v>245.4</v>
      </c>
      <c r="Z103">
        <v>120.8</v>
      </c>
      <c r="AA103">
        <v>123</v>
      </c>
      <c r="AB103">
        <v>120.4</v>
      </c>
      <c r="AC103">
        <v>111.4</v>
      </c>
      <c r="AD103">
        <v>118.7</v>
      </c>
      <c r="AE103">
        <v>125.9</v>
      </c>
      <c r="AF103">
        <v>113.9</v>
      </c>
      <c r="AG103">
        <v>117.9</v>
      </c>
      <c r="AH103">
        <v>126.1</v>
      </c>
      <c r="AI103">
        <f>SUM('Cleaned Data'!AC103,'Cleaned Data'!AE103,'Cleaned Data'!Z103,'Cleaned Data'!AA103)</f>
        <v>481.1</v>
      </c>
      <c r="AJ103" s="1">
        <f t="shared" si="9"/>
        <v>120.27500000000001</v>
      </c>
    </row>
    <row r="104" spans="1:36">
      <c r="A104" t="s">
        <v>93</v>
      </c>
      <c r="B104">
        <v>2015</v>
      </c>
      <c r="C104" t="s">
        <v>33</v>
      </c>
      <c r="D104">
        <v>126.1</v>
      </c>
      <c r="E104">
        <v>130.6</v>
      </c>
      <c r="F104">
        <v>121.7</v>
      </c>
      <c r="G104">
        <v>129.5</v>
      </c>
      <c r="H104">
        <v>117.8</v>
      </c>
      <c r="I104">
        <v>132.1</v>
      </c>
      <c r="J104">
        <v>155.19999999999999</v>
      </c>
      <c r="K104">
        <v>160.80000000000001</v>
      </c>
      <c r="L104">
        <v>94.5</v>
      </c>
      <c r="M104">
        <v>128.30000000000001</v>
      </c>
      <c r="N104">
        <v>123.1</v>
      </c>
      <c r="O104">
        <v>134.19999999999999</v>
      </c>
      <c r="P104" s="1">
        <f t="shared" si="5"/>
        <v>1563.2</v>
      </c>
      <c r="Q104">
        <v>132.4</v>
      </c>
      <c r="R104">
        <v>132.19999999999999</v>
      </c>
      <c r="S104" s="1">
        <f t="shared" si="6"/>
        <v>490.4</v>
      </c>
      <c r="T104">
        <v>132.1</v>
      </c>
      <c r="U104">
        <v>128.19999999999999</v>
      </c>
      <c r="V104" s="1">
        <f t="shared" si="7"/>
        <v>391.79999999999995</v>
      </c>
      <c r="W104">
        <v>131.5</v>
      </c>
      <c r="X104">
        <v>122.9</v>
      </c>
      <c r="Y104" s="1">
        <f t="shared" si="8"/>
        <v>248.5</v>
      </c>
      <c r="Z104">
        <v>125.6</v>
      </c>
      <c r="AA104">
        <v>125.6</v>
      </c>
      <c r="AB104">
        <v>122.6</v>
      </c>
      <c r="AC104">
        <v>114</v>
      </c>
      <c r="AD104">
        <v>120.9</v>
      </c>
      <c r="AE104">
        <v>125.8</v>
      </c>
      <c r="AF104">
        <v>114.2</v>
      </c>
      <c r="AG104">
        <v>119.6</v>
      </c>
      <c r="AH104">
        <v>128.30000000000001</v>
      </c>
      <c r="AI104">
        <f>SUM('Cleaned Data'!AC104,'Cleaned Data'!AE104,'Cleaned Data'!Z104,'Cleaned Data'!AA104)</f>
        <v>491</v>
      </c>
      <c r="AJ104" s="1">
        <f t="shared" si="9"/>
        <v>122.75</v>
      </c>
    </row>
    <row r="105" spans="1:36">
      <c r="A105" t="s">
        <v>94</v>
      </c>
      <c r="B105">
        <v>2015</v>
      </c>
      <c r="C105" t="s">
        <v>33</v>
      </c>
      <c r="D105">
        <v>124</v>
      </c>
      <c r="E105">
        <v>129.80000000000001</v>
      </c>
      <c r="F105">
        <v>121.5</v>
      </c>
      <c r="G105">
        <v>128.6</v>
      </c>
      <c r="H105">
        <v>110</v>
      </c>
      <c r="I105">
        <v>123.7</v>
      </c>
      <c r="J105">
        <v>164.6</v>
      </c>
      <c r="K105">
        <v>191.6</v>
      </c>
      <c r="L105">
        <v>90.8</v>
      </c>
      <c r="M105">
        <v>137.1</v>
      </c>
      <c r="N105">
        <v>119.8</v>
      </c>
      <c r="O105">
        <v>133.69999999999999</v>
      </c>
      <c r="P105" s="1">
        <f t="shared" si="5"/>
        <v>1588.6999999999998</v>
      </c>
      <c r="Q105">
        <v>133.30000000000001</v>
      </c>
      <c r="R105">
        <v>137.6</v>
      </c>
      <c r="S105" s="1">
        <f t="shared" si="6"/>
        <v>488.59999999999997</v>
      </c>
      <c r="T105">
        <v>125</v>
      </c>
      <c r="U105">
        <v>119.3</v>
      </c>
      <c r="V105" s="1">
        <f t="shared" si="7"/>
        <v>368.5</v>
      </c>
      <c r="W105">
        <v>124.2</v>
      </c>
      <c r="X105">
        <v>122.9</v>
      </c>
      <c r="Y105" s="1">
        <f t="shared" si="8"/>
        <v>243.9</v>
      </c>
      <c r="Z105">
        <v>115.1</v>
      </c>
      <c r="AA105">
        <v>121</v>
      </c>
      <c r="AB105">
        <v>118.1</v>
      </c>
      <c r="AC105">
        <v>109.3</v>
      </c>
      <c r="AD105">
        <v>117.9</v>
      </c>
      <c r="AE105">
        <v>126.6</v>
      </c>
      <c r="AF105">
        <v>113.3</v>
      </c>
      <c r="AG105">
        <v>116.6</v>
      </c>
      <c r="AH105">
        <v>124.6</v>
      </c>
      <c r="AI105">
        <f>SUM('Cleaned Data'!AC105,'Cleaned Data'!AE105,'Cleaned Data'!Z105,'Cleaned Data'!AA105)</f>
        <v>472</v>
      </c>
      <c r="AJ105" s="1">
        <f t="shared" si="9"/>
        <v>118</v>
      </c>
    </row>
    <row r="106" spans="1:36">
      <c r="A106" t="s">
        <v>6</v>
      </c>
      <c r="B106">
        <v>2015</v>
      </c>
      <c r="C106" t="s">
        <v>33</v>
      </c>
      <c r="D106">
        <v>125.4</v>
      </c>
      <c r="E106">
        <v>130.30000000000001</v>
      </c>
      <c r="F106">
        <v>121.6</v>
      </c>
      <c r="G106">
        <v>129.19999999999999</v>
      </c>
      <c r="H106">
        <v>114.9</v>
      </c>
      <c r="I106">
        <v>128.19999999999999</v>
      </c>
      <c r="J106">
        <v>158.4</v>
      </c>
      <c r="K106">
        <v>171.2</v>
      </c>
      <c r="L106">
        <v>93.3</v>
      </c>
      <c r="M106">
        <v>131.19999999999999</v>
      </c>
      <c r="N106">
        <v>121.7</v>
      </c>
      <c r="O106">
        <v>134</v>
      </c>
      <c r="P106" s="1">
        <f t="shared" si="5"/>
        <v>1570.3999999999999</v>
      </c>
      <c r="Q106">
        <v>132.69999999999999</v>
      </c>
      <c r="R106">
        <v>133.6</v>
      </c>
      <c r="S106" s="1">
        <f t="shared" si="6"/>
        <v>488.3</v>
      </c>
      <c r="T106">
        <v>129.30000000000001</v>
      </c>
      <c r="U106">
        <v>124.5</v>
      </c>
      <c r="V106" s="1">
        <f t="shared" si="7"/>
        <v>382.4</v>
      </c>
      <c r="W106">
        <v>128.6</v>
      </c>
      <c r="X106">
        <v>122.9</v>
      </c>
      <c r="Y106" s="1">
        <f t="shared" si="8"/>
        <v>246.3</v>
      </c>
      <c r="Z106">
        <v>121.6</v>
      </c>
      <c r="AA106">
        <v>123.4</v>
      </c>
      <c r="AB106">
        <v>120.9</v>
      </c>
      <c r="AC106">
        <v>111.5</v>
      </c>
      <c r="AD106">
        <v>119.2</v>
      </c>
      <c r="AE106">
        <v>126.3</v>
      </c>
      <c r="AF106">
        <v>113.8</v>
      </c>
      <c r="AG106">
        <v>118.1</v>
      </c>
      <c r="AH106">
        <v>126.6</v>
      </c>
      <c r="AI106">
        <f>SUM('Cleaned Data'!AC106,'Cleaned Data'!AE106,'Cleaned Data'!Z106,'Cleaned Data'!AA106)</f>
        <v>482.79999999999995</v>
      </c>
      <c r="AJ106" s="1">
        <f t="shared" si="9"/>
        <v>120.70000000000002</v>
      </c>
    </row>
    <row r="107" spans="1:36">
      <c r="A107" t="s">
        <v>93</v>
      </c>
      <c r="B107">
        <v>2015</v>
      </c>
      <c r="C107" t="s">
        <v>35</v>
      </c>
      <c r="D107">
        <v>126.3</v>
      </c>
      <c r="E107">
        <v>131.30000000000001</v>
      </c>
      <c r="F107">
        <v>123.3</v>
      </c>
      <c r="G107">
        <v>129.80000000000001</v>
      </c>
      <c r="H107">
        <v>118.3</v>
      </c>
      <c r="I107">
        <v>131.6</v>
      </c>
      <c r="J107">
        <v>145.5</v>
      </c>
      <c r="K107">
        <v>162.1</v>
      </c>
      <c r="L107">
        <v>95.4</v>
      </c>
      <c r="M107">
        <v>128.9</v>
      </c>
      <c r="N107">
        <v>123.3</v>
      </c>
      <c r="O107">
        <v>135.1</v>
      </c>
      <c r="P107" s="1">
        <f t="shared" si="5"/>
        <v>1559</v>
      </c>
      <c r="Q107">
        <v>131.4</v>
      </c>
      <c r="R107">
        <v>133.1</v>
      </c>
      <c r="S107" s="1">
        <f t="shared" si="6"/>
        <v>492.1</v>
      </c>
      <c r="T107">
        <v>132.5</v>
      </c>
      <c r="U107">
        <v>128.5</v>
      </c>
      <c r="V107" s="1">
        <f t="shared" si="7"/>
        <v>392.9</v>
      </c>
      <c r="W107">
        <v>131.9</v>
      </c>
      <c r="X107">
        <v>122.4</v>
      </c>
      <c r="Y107" s="1">
        <f t="shared" si="8"/>
        <v>248.4</v>
      </c>
      <c r="Z107">
        <v>125.7</v>
      </c>
      <c r="AA107">
        <v>126</v>
      </c>
      <c r="AB107">
        <v>123.1</v>
      </c>
      <c r="AC107">
        <v>114</v>
      </c>
      <c r="AD107">
        <v>121.6</v>
      </c>
      <c r="AE107">
        <v>125.6</v>
      </c>
      <c r="AF107">
        <v>114.1</v>
      </c>
      <c r="AG107">
        <v>119.8</v>
      </c>
      <c r="AH107">
        <v>127.9</v>
      </c>
      <c r="AI107">
        <f>SUM('Cleaned Data'!AC107,'Cleaned Data'!AE107,'Cleaned Data'!Z107,'Cleaned Data'!AA107)</f>
        <v>491.3</v>
      </c>
      <c r="AJ107" s="1">
        <f t="shared" si="9"/>
        <v>122.825</v>
      </c>
    </row>
    <row r="108" spans="1:36">
      <c r="A108" t="s">
        <v>94</v>
      </c>
      <c r="B108">
        <v>2015</v>
      </c>
      <c r="C108" t="s">
        <v>35</v>
      </c>
      <c r="D108">
        <v>124.3</v>
      </c>
      <c r="E108">
        <v>131.69999999999999</v>
      </c>
      <c r="F108">
        <v>127.1</v>
      </c>
      <c r="G108">
        <v>128.6</v>
      </c>
      <c r="H108">
        <v>110</v>
      </c>
      <c r="I108">
        <v>120.8</v>
      </c>
      <c r="J108">
        <v>149</v>
      </c>
      <c r="K108">
        <v>190.1</v>
      </c>
      <c r="L108">
        <v>92.7</v>
      </c>
      <c r="M108">
        <v>138.6</v>
      </c>
      <c r="N108">
        <v>120.2</v>
      </c>
      <c r="O108">
        <v>134.19999999999999</v>
      </c>
      <c r="P108" s="1">
        <f t="shared" si="5"/>
        <v>1578.5999999999997</v>
      </c>
      <c r="Q108">
        <v>131.5</v>
      </c>
      <c r="R108">
        <v>138.19999999999999</v>
      </c>
      <c r="S108" s="1">
        <f t="shared" si="6"/>
        <v>489.7</v>
      </c>
      <c r="T108">
        <v>125.4</v>
      </c>
      <c r="U108">
        <v>119.5</v>
      </c>
      <c r="V108" s="1">
        <f t="shared" si="7"/>
        <v>369.4</v>
      </c>
      <c r="W108">
        <v>124.5</v>
      </c>
      <c r="X108">
        <v>122.4</v>
      </c>
      <c r="Y108" s="1">
        <f t="shared" si="8"/>
        <v>243.4</v>
      </c>
      <c r="Z108">
        <v>116</v>
      </c>
      <c r="AA108">
        <v>121</v>
      </c>
      <c r="AB108">
        <v>118.6</v>
      </c>
      <c r="AC108">
        <v>109.3</v>
      </c>
      <c r="AD108">
        <v>118.1</v>
      </c>
      <c r="AE108">
        <v>126.6</v>
      </c>
      <c r="AF108">
        <v>113.2</v>
      </c>
      <c r="AG108">
        <v>116.7</v>
      </c>
      <c r="AH108">
        <v>124</v>
      </c>
      <c r="AI108">
        <f>SUM('Cleaned Data'!AC108,'Cleaned Data'!AE108,'Cleaned Data'!Z108,'Cleaned Data'!AA108)</f>
        <v>472.9</v>
      </c>
      <c r="AJ108" s="1">
        <f t="shared" si="9"/>
        <v>118.22499999999999</v>
      </c>
    </row>
    <row r="109" spans="1:36">
      <c r="A109" t="s">
        <v>6</v>
      </c>
      <c r="B109">
        <v>2015</v>
      </c>
      <c r="C109" t="s">
        <v>35</v>
      </c>
      <c r="D109">
        <v>125.7</v>
      </c>
      <c r="E109">
        <v>131.4</v>
      </c>
      <c r="F109">
        <v>124.8</v>
      </c>
      <c r="G109">
        <v>129.4</v>
      </c>
      <c r="H109">
        <v>115.3</v>
      </c>
      <c r="I109">
        <v>126.6</v>
      </c>
      <c r="J109">
        <v>146.69999999999999</v>
      </c>
      <c r="K109">
        <v>171.5</v>
      </c>
      <c r="L109">
        <v>94.5</v>
      </c>
      <c r="M109">
        <v>132.1</v>
      </c>
      <c r="N109">
        <v>122</v>
      </c>
      <c r="O109">
        <v>134.69999999999999</v>
      </c>
      <c r="P109" s="1">
        <f t="shared" si="5"/>
        <v>1564.1000000000001</v>
      </c>
      <c r="Q109">
        <v>131.4</v>
      </c>
      <c r="R109">
        <v>134.5</v>
      </c>
      <c r="S109" s="1">
        <f t="shared" si="6"/>
        <v>489.8</v>
      </c>
      <c r="T109">
        <v>129.69999999999999</v>
      </c>
      <c r="U109">
        <v>124.8</v>
      </c>
      <c r="V109" s="1">
        <f t="shared" si="7"/>
        <v>383.5</v>
      </c>
      <c r="W109">
        <v>129</v>
      </c>
      <c r="X109">
        <v>122.4</v>
      </c>
      <c r="Y109" s="1">
        <f t="shared" si="8"/>
        <v>246</v>
      </c>
      <c r="Z109">
        <v>122</v>
      </c>
      <c r="AA109">
        <v>123.6</v>
      </c>
      <c r="AB109">
        <v>121.4</v>
      </c>
      <c r="AC109">
        <v>111.5</v>
      </c>
      <c r="AD109">
        <v>119.6</v>
      </c>
      <c r="AE109">
        <v>126.2</v>
      </c>
      <c r="AF109">
        <v>113.7</v>
      </c>
      <c r="AG109">
        <v>118.3</v>
      </c>
      <c r="AH109">
        <v>126.1</v>
      </c>
      <c r="AI109">
        <f>SUM('Cleaned Data'!AC109,'Cleaned Data'!AE109,'Cleaned Data'!Z109,'Cleaned Data'!AA109)</f>
        <v>483.29999999999995</v>
      </c>
      <c r="AJ109" s="1">
        <f t="shared" si="9"/>
        <v>120.82499999999999</v>
      </c>
    </row>
    <row r="110" spans="1:36">
      <c r="A110" t="s">
        <v>93</v>
      </c>
      <c r="B110">
        <v>2016</v>
      </c>
      <c r="C110" t="s">
        <v>11</v>
      </c>
      <c r="D110">
        <v>126.8</v>
      </c>
      <c r="E110">
        <v>133.19999999999999</v>
      </c>
      <c r="F110">
        <v>126.5</v>
      </c>
      <c r="G110">
        <v>130.30000000000001</v>
      </c>
      <c r="H110">
        <v>118.9</v>
      </c>
      <c r="I110">
        <v>131.6</v>
      </c>
      <c r="J110">
        <v>140.1</v>
      </c>
      <c r="K110">
        <v>163.80000000000001</v>
      </c>
      <c r="L110">
        <v>97.7</v>
      </c>
      <c r="M110">
        <v>129.6</v>
      </c>
      <c r="N110">
        <v>124.3</v>
      </c>
      <c r="O110">
        <v>135.9</v>
      </c>
      <c r="P110" s="1">
        <f t="shared" si="5"/>
        <v>1565.8000000000002</v>
      </c>
      <c r="Q110">
        <v>131.4</v>
      </c>
      <c r="R110">
        <v>133.6</v>
      </c>
      <c r="S110" s="1">
        <f t="shared" si="6"/>
        <v>494.19999999999993</v>
      </c>
      <c r="T110">
        <v>133.19999999999999</v>
      </c>
      <c r="U110">
        <v>128.9</v>
      </c>
      <c r="V110" s="1">
        <f t="shared" si="7"/>
        <v>394.70000000000005</v>
      </c>
      <c r="W110">
        <v>132.6</v>
      </c>
      <c r="X110">
        <v>123.4</v>
      </c>
      <c r="Y110" s="1">
        <f t="shared" si="8"/>
        <v>250</v>
      </c>
      <c r="Z110">
        <v>126.2</v>
      </c>
      <c r="AA110">
        <v>126.6</v>
      </c>
      <c r="AB110">
        <v>123.7</v>
      </c>
      <c r="AC110">
        <v>113.6</v>
      </c>
      <c r="AD110">
        <v>121.4</v>
      </c>
      <c r="AE110">
        <v>126.2</v>
      </c>
      <c r="AF110">
        <v>114.9</v>
      </c>
      <c r="AG110">
        <v>120.1</v>
      </c>
      <c r="AH110">
        <v>128.1</v>
      </c>
      <c r="AI110">
        <f>SUM('Cleaned Data'!AC110,'Cleaned Data'!AE110,'Cleaned Data'!Z110,'Cleaned Data'!AA110)</f>
        <v>492.6</v>
      </c>
      <c r="AJ110" s="1">
        <f t="shared" si="9"/>
        <v>123.14999999999999</v>
      </c>
    </row>
    <row r="111" spans="1:36">
      <c r="A111" t="s">
        <v>94</v>
      </c>
      <c r="B111">
        <v>2016</v>
      </c>
      <c r="C111" t="s">
        <v>11</v>
      </c>
      <c r="D111">
        <v>124.7</v>
      </c>
      <c r="E111">
        <v>135.9</v>
      </c>
      <c r="F111">
        <v>132</v>
      </c>
      <c r="G111">
        <v>129.19999999999999</v>
      </c>
      <c r="H111">
        <v>109.7</v>
      </c>
      <c r="I111">
        <v>119</v>
      </c>
      <c r="J111">
        <v>144.1</v>
      </c>
      <c r="K111">
        <v>184.2</v>
      </c>
      <c r="L111">
        <v>96.7</v>
      </c>
      <c r="M111">
        <v>139.5</v>
      </c>
      <c r="N111">
        <v>120.5</v>
      </c>
      <c r="O111">
        <v>134.69999999999999</v>
      </c>
      <c r="P111" s="1">
        <f t="shared" si="5"/>
        <v>1580.9</v>
      </c>
      <c r="Q111">
        <v>131.19999999999999</v>
      </c>
      <c r="R111">
        <v>139.5</v>
      </c>
      <c r="S111" s="1">
        <f t="shared" si="6"/>
        <v>492.5</v>
      </c>
      <c r="T111">
        <v>125.8</v>
      </c>
      <c r="U111">
        <v>119.8</v>
      </c>
      <c r="V111" s="1">
        <f t="shared" si="7"/>
        <v>370.5</v>
      </c>
      <c r="W111">
        <v>124.9</v>
      </c>
      <c r="X111">
        <v>123.4</v>
      </c>
      <c r="Y111" s="1">
        <f t="shared" si="8"/>
        <v>245</v>
      </c>
      <c r="Z111">
        <v>116.9</v>
      </c>
      <c r="AA111">
        <v>121.6</v>
      </c>
      <c r="AB111">
        <v>119.1</v>
      </c>
      <c r="AC111">
        <v>108.9</v>
      </c>
      <c r="AD111">
        <v>118.5</v>
      </c>
      <c r="AE111">
        <v>126.4</v>
      </c>
      <c r="AF111">
        <v>114</v>
      </c>
      <c r="AG111">
        <v>116.8</v>
      </c>
      <c r="AH111">
        <v>124.2</v>
      </c>
      <c r="AI111">
        <f>SUM('Cleaned Data'!AC111,'Cleaned Data'!AE111,'Cleaned Data'!Z111,'Cleaned Data'!AA111)</f>
        <v>473.80000000000007</v>
      </c>
      <c r="AJ111" s="1">
        <f t="shared" si="9"/>
        <v>118.44999999999999</v>
      </c>
    </row>
    <row r="112" spans="1:36">
      <c r="A112" t="s">
        <v>6</v>
      </c>
      <c r="B112">
        <v>2016</v>
      </c>
      <c r="C112" t="s">
        <v>11</v>
      </c>
      <c r="D112">
        <v>126.1</v>
      </c>
      <c r="E112">
        <v>134.1</v>
      </c>
      <c r="F112">
        <v>128.6</v>
      </c>
      <c r="G112">
        <v>129.9</v>
      </c>
      <c r="H112">
        <v>115.5</v>
      </c>
      <c r="I112">
        <v>125.7</v>
      </c>
      <c r="J112">
        <v>141.5</v>
      </c>
      <c r="K112">
        <v>170.7</v>
      </c>
      <c r="L112">
        <v>97.4</v>
      </c>
      <c r="M112">
        <v>132.9</v>
      </c>
      <c r="N112">
        <v>122.7</v>
      </c>
      <c r="O112">
        <v>135.30000000000001</v>
      </c>
      <c r="P112" s="1">
        <f t="shared" si="5"/>
        <v>1568.9999999999998</v>
      </c>
      <c r="Q112">
        <v>131.30000000000001</v>
      </c>
      <c r="R112">
        <v>135.19999999999999</v>
      </c>
      <c r="S112" s="1">
        <f t="shared" si="6"/>
        <v>492.2</v>
      </c>
      <c r="T112">
        <v>130.30000000000001</v>
      </c>
      <c r="U112">
        <v>125.1</v>
      </c>
      <c r="V112" s="1">
        <f t="shared" si="7"/>
        <v>384.9</v>
      </c>
      <c r="W112">
        <v>129.5</v>
      </c>
      <c r="X112">
        <v>123.4</v>
      </c>
      <c r="Y112" s="1">
        <f t="shared" si="8"/>
        <v>247.60000000000002</v>
      </c>
      <c r="Z112">
        <v>122.7</v>
      </c>
      <c r="AA112">
        <v>124.2</v>
      </c>
      <c r="AB112">
        <v>122</v>
      </c>
      <c r="AC112">
        <v>111.1</v>
      </c>
      <c r="AD112">
        <v>119.8</v>
      </c>
      <c r="AE112">
        <v>126.3</v>
      </c>
      <c r="AF112">
        <v>114.5</v>
      </c>
      <c r="AG112">
        <v>118.5</v>
      </c>
      <c r="AH112">
        <v>126.3</v>
      </c>
      <c r="AI112">
        <f>SUM('Cleaned Data'!AC112,'Cleaned Data'!AE112,'Cleaned Data'!Z112,'Cleaned Data'!AA112)</f>
        <v>484.29999999999995</v>
      </c>
      <c r="AJ112" s="1">
        <f t="shared" si="9"/>
        <v>121.07499999999999</v>
      </c>
    </row>
    <row r="113" spans="1:36">
      <c r="A113" t="s">
        <v>93</v>
      </c>
      <c r="B113">
        <v>2016</v>
      </c>
      <c r="C113" t="s">
        <v>14</v>
      </c>
      <c r="D113">
        <v>127.1</v>
      </c>
      <c r="E113">
        <v>133.69999999999999</v>
      </c>
      <c r="F113">
        <v>127.7</v>
      </c>
      <c r="G113">
        <v>130.69999999999999</v>
      </c>
      <c r="H113">
        <v>118.5</v>
      </c>
      <c r="I113">
        <v>130.4</v>
      </c>
      <c r="J113">
        <v>130.9</v>
      </c>
      <c r="K113">
        <v>162.80000000000001</v>
      </c>
      <c r="L113">
        <v>98.7</v>
      </c>
      <c r="M113">
        <v>130.6</v>
      </c>
      <c r="N113">
        <v>124.8</v>
      </c>
      <c r="O113">
        <v>136.4</v>
      </c>
      <c r="P113" s="1">
        <f t="shared" si="5"/>
        <v>1557.8</v>
      </c>
      <c r="Q113">
        <v>130.30000000000001</v>
      </c>
      <c r="R113">
        <v>134.4</v>
      </c>
      <c r="S113" s="1">
        <f t="shared" si="6"/>
        <v>498.3</v>
      </c>
      <c r="T113">
        <v>133.9</v>
      </c>
      <c r="U113">
        <v>129.80000000000001</v>
      </c>
      <c r="V113" s="1">
        <f t="shared" si="7"/>
        <v>397.1</v>
      </c>
      <c r="W113">
        <v>133.4</v>
      </c>
      <c r="X113">
        <v>124.4</v>
      </c>
      <c r="Y113" s="1">
        <f t="shared" si="8"/>
        <v>251.5</v>
      </c>
      <c r="Z113">
        <v>127.5</v>
      </c>
      <c r="AA113">
        <v>127.1</v>
      </c>
      <c r="AB113">
        <v>124.3</v>
      </c>
      <c r="AC113">
        <v>113.9</v>
      </c>
      <c r="AD113">
        <v>122.3</v>
      </c>
      <c r="AE113">
        <v>127.1</v>
      </c>
      <c r="AF113">
        <v>116.8</v>
      </c>
      <c r="AG113">
        <v>120.9</v>
      </c>
      <c r="AH113">
        <v>127.9</v>
      </c>
      <c r="AI113">
        <f>SUM('Cleaned Data'!AC113,'Cleaned Data'!AE113,'Cleaned Data'!Z113,'Cleaned Data'!AA113)</f>
        <v>495.6</v>
      </c>
      <c r="AJ113" s="1">
        <f t="shared" si="9"/>
        <v>123.9</v>
      </c>
    </row>
    <row r="114" spans="1:36">
      <c r="A114" t="s">
        <v>94</v>
      </c>
      <c r="B114">
        <v>2016</v>
      </c>
      <c r="C114" t="s">
        <v>14</v>
      </c>
      <c r="D114">
        <v>124.8</v>
      </c>
      <c r="E114">
        <v>135.1</v>
      </c>
      <c r="F114">
        <v>130.30000000000001</v>
      </c>
      <c r="G114">
        <v>129.6</v>
      </c>
      <c r="H114">
        <v>108.4</v>
      </c>
      <c r="I114">
        <v>118.6</v>
      </c>
      <c r="J114">
        <v>129.19999999999999</v>
      </c>
      <c r="K114">
        <v>176.4</v>
      </c>
      <c r="L114">
        <v>99.1</v>
      </c>
      <c r="M114">
        <v>139.69999999999999</v>
      </c>
      <c r="N114">
        <v>120.6</v>
      </c>
      <c r="O114">
        <v>135.19999999999999</v>
      </c>
      <c r="P114" s="1">
        <f t="shared" si="5"/>
        <v>1555.4999999999995</v>
      </c>
      <c r="Q114">
        <v>129.1</v>
      </c>
      <c r="R114">
        <v>140</v>
      </c>
      <c r="S114" s="1">
        <f t="shared" si="6"/>
        <v>495.6</v>
      </c>
      <c r="T114">
        <v>126.2</v>
      </c>
      <c r="U114">
        <v>120.1</v>
      </c>
      <c r="V114" s="1">
        <f t="shared" si="7"/>
        <v>371.6</v>
      </c>
      <c r="W114">
        <v>125.3</v>
      </c>
      <c r="X114">
        <v>124.4</v>
      </c>
      <c r="Y114" s="1">
        <f t="shared" si="8"/>
        <v>246.2</v>
      </c>
      <c r="Z114">
        <v>116</v>
      </c>
      <c r="AA114">
        <v>121.8</v>
      </c>
      <c r="AB114">
        <v>119.5</v>
      </c>
      <c r="AC114">
        <v>109.1</v>
      </c>
      <c r="AD114">
        <v>118.8</v>
      </c>
      <c r="AE114">
        <v>126.3</v>
      </c>
      <c r="AF114">
        <v>116.2</v>
      </c>
      <c r="AG114">
        <v>117.2</v>
      </c>
      <c r="AH114">
        <v>123.8</v>
      </c>
      <c r="AI114">
        <f>SUM('Cleaned Data'!AC114,'Cleaned Data'!AE114,'Cleaned Data'!Z114,'Cleaned Data'!AA114)</f>
        <v>473.2</v>
      </c>
      <c r="AJ114" s="1">
        <f t="shared" si="9"/>
        <v>118.3</v>
      </c>
    </row>
    <row r="115" spans="1:36">
      <c r="A115" t="s">
        <v>6</v>
      </c>
      <c r="B115">
        <v>2016</v>
      </c>
      <c r="C115" t="s">
        <v>14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s="1">
        <f t="shared" si="5"/>
        <v>1555.1000000000004</v>
      </c>
      <c r="Q115">
        <v>129.9</v>
      </c>
      <c r="R115">
        <v>135.9</v>
      </c>
      <c r="S115" s="1">
        <f t="shared" si="6"/>
        <v>495.79999999999995</v>
      </c>
      <c r="T115">
        <v>130.9</v>
      </c>
      <c r="U115">
        <v>125.8</v>
      </c>
      <c r="V115" s="1">
        <f t="shared" si="7"/>
        <v>386.9</v>
      </c>
      <c r="W115">
        <v>130.19999999999999</v>
      </c>
      <c r="X115">
        <v>124.4</v>
      </c>
      <c r="Y115" s="1">
        <f t="shared" si="8"/>
        <v>249</v>
      </c>
      <c r="Z115">
        <v>123.1</v>
      </c>
      <c r="AA115">
        <v>124.6</v>
      </c>
      <c r="AB115">
        <v>122.5</v>
      </c>
      <c r="AC115">
        <v>111.4</v>
      </c>
      <c r="AD115">
        <v>120.3</v>
      </c>
      <c r="AE115">
        <v>126.6</v>
      </c>
      <c r="AF115">
        <v>116.6</v>
      </c>
      <c r="AG115">
        <v>119.1</v>
      </c>
      <c r="AH115">
        <v>126</v>
      </c>
      <c r="AI115">
        <f>SUM('Cleaned Data'!AC115,'Cleaned Data'!AE115,'Cleaned Data'!Z115,'Cleaned Data'!AA115)</f>
        <v>485.70000000000005</v>
      </c>
      <c r="AJ115" s="1">
        <f t="shared" si="9"/>
        <v>121.42500000000001</v>
      </c>
    </row>
    <row r="116" spans="1:36">
      <c r="A116" t="s">
        <v>93</v>
      </c>
      <c r="B116">
        <v>2016</v>
      </c>
      <c r="C116" t="s">
        <v>17</v>
      </c>
      <c r="D116">
        <v>127.3</v>
      </c>
      <c r="E116">
        <v>134.4</v>
      </c>
      <c r="F116">
        <v>125.1</v>
      </c>
      <c r="G116">
        <v>130.5</v>
      </c>
      <c r="H116">
        <v>118.3</v>
      </c>
      <c r="I116">
        <v>131.69999999999999</v>
      </c>
      <c r="J116">
        <v>130.69999999999999</v>
      </c>
      <c r="K116">
        <v>161.19999999999999</v>
      </c>
      <c r="L116">
        <v>100.4</v>
      </c>
      <c r="M116">
        <v>130.80000000000001</v>
      </c>
      <c r="N116">
        <v>124.9</v>
      </c>
      <c r="O116">
        <v>137</v>
      </c>
      <c r="P116" s="1">
        <f t="shared" si="5"/>
        <v>1557.8000000000002</v>
      </c>
      <c r="Q116">
        <v>130.4</v>
      </c>
      <c r="R116">
        <v>135</v>
      </c>
      <c r="S116" s="1">
        <f t="shared" si="6"/>
        <v>499.79999999999995</v>
      </c>
      <c r="T116">
        <v>134.4</v>
      </c>
      <c r="U116">
        <v>130.19999999999999</v>
      </c>
      <c r="V116" s="1">
        <f t="shared" si="7"/>
        <v>398.40000000000003</v>
      </c>
      <c r="W116">
        <v>133.80000000000001</v>
      </c>
      <c r="X116">
        <v>124.9</v>
      </c>
      <c r="Y116" s="1">
        <f t="shared" si="8"/>
        <v>252.60000000000002</v>
      </c>
      <c r="Z116">
        <v>127</v>
      </c>
      <c r="AA116">
        <v>127.7</v>
      </c>
      <c r="AB116">
        <v>124.8</v>
      </c>
      <c r="AC116">
        <v>113.6</v>
      </c>
      <c r="AD116">
        <v>122.5</v>
      </c>
      <c r="AE116">
        <v>127.5</v>
      </c>
      <c r="AF116">
        <v>117.4</v>
      </c>
      <c r="AG116">
        <v>121.1</v>
      </c>
      <c r="AH116">
        <v>128</v>
      </c>
      <c r="AI116">
        <f>SUM('Cleaned Data'!AC116,'Cleaned Data'!AE116,'Cleaned Data'!Z116,'Cleaned Data'!AA116)</f>
        <v>495.8</v>
      </c>
      <c r="AJ116" s="1">
        <f t="shared" si="9"/>
        <v>123.95</v>
      </c>
    </row>
    <row r="117" spans="1:36">
      <c r="A117" t="s">
        <v>94</v>
      </c>
      <c r="B117">
        <v>2016</v>
      </c>
      <c r="C117" t="s">
        <v>17</v>
      </c>
      <c r="D117">
        <v>124.8</v>
      </c>
      <c r="E117">
        <v>136.30000000000001</v>
      </c>
      <c r="F117">
        <v>123.7</v>
      </c>
      <c r="G117">
        <v>129.69999999999999</v>
      </c>
      <c r="H117">
        <v>107.9</v>
      </c>
      <c r="I117">
        <v>119.9</v>
      </c>
      <c r="J117">
        <v>128.1</v>
      </c>
      <c r="K117">
        <v>170.3</v>
      </c>
      <c r="L117">
        <v>101.8</v>
      </c>
      <c r="M117">
        <v>140.1</v>
      </c>
      <c r="N117">
        <v>120.7</v>
      </c>
      <c r="O117">
        <v>135.4</v>
      </c>
      <c r="P117" s="1">
        <f t="shared" si="5"/>
        <v>1546.9</v>
      </c>
      <c r="Q117">
        <v>128.9</v>
      </c>
      <c r="R117">
        <v>140.6</v>
      </c>
      <c r="S117" s="1">
        <f t="shared" si="6"/>
        <v>497.5</v>
      </c>
      <c r="T117">
        <v>126.4</v>
      </c>
      <c r="U117">
        <v>120.3</v>
      </c>
      <c r="V117" s="1">
        <f t="shared" si="7"/>
        <v>372.2</v>
      </c>
      <c r="W117">
        <v>125.5</v>
      </c>
      <c r="X117">
        <v>124.9</v>
      </c>
      <c r="Y117" s="1">
        <f t="shared" si="8"/>
        <v>247.2</v>
      </c>
      <c r="Z117">
        <v>114.8</v>
      </c>
      <c r="AA117">
        <v>122.3</v>
      </c>
      <c r="AB117">
        <v>119.7</v>
      </c>
      <c r="AC117">
        <v>108.5</v>
      </c>
      <c r="AD117">
        <v>119.1</v>
      </c>
      <c r="AE117">
        <v>126.4</v>
      </c>
      <c r="AF117">
        <v>117.1</v>
      </c>
      <c r="AG117">
        <v>117.3</v>
      </c>
      <c r="AH117">
        <v>123.8</v>
      </c>
      <c r="AI117">
        <f>SUM('Cleaned Data'!AC117,'Cleaned Data'!AE117,'Cleaned Data'!Z117,'Cleaned Data'!AA117)</f>
        <v>472</v>
      </c>
      <c r="AJ117" s="1">
        <f t="shared" si="9"/>
        <v>118</v>
      </c>
    </row>
    <row r="118" spans="1:36">
      <c r="A118" t="s">
        <v>6</v>
      </c>
      <c r="B118">
        <v>2016</v>
      </c>
      <c r="C118" t="s">
        <v>17</v>
      </c>
      <c r="D118">
        <v>126.5</v>
      </c>
      <c r="E118">
        <v>135.1</v>
      </c>
      <c r="F118">
        <v>124.6</v>
      </c>
      <c r="G118">
        <v>130.19999999999999</v>
      </c>
      <c r="H118">
        <v>114.5</v>
      </c>
      <c r="I118">
        <v>126.2</v>
      </c>
      <c r="J118">
        <v>129.80000000000001</v>
      </c>
      <c r="K118">
        <v>164.3</v>
      </c>
      <c r="L118">
        <v>100.9</v>
      </c>
      <c r="M118">
        <v>133.9</v>
      </c>
      <c r="N118">
        <v>123.1</v>
      </c>
      <c r="O118">
        <v>136.30000000000001</v>
      </c>
      <c r="P118" s="1">
        <f t="shared" si="5"/>
        <v>1552.1</v>
      </c>
      <c r="Q118">
        <v>129.80000000000001</v>
      </c>
      <c r="R118">
        <v>136.5</v>
      </c>
      <c r="S118" s="1">
        <f t="shared" si="6"/>
        <v>497.50000000000006</v>
      </c>
      <c r="T118">
        <v>131.30000000000001</v>
      </c>
      <c r="U118">
        <v>126.1</v>
      </c>
      <c r="V118" s="1">
        <f t="shared" si="7"/>
        <v>387.9</v>
      </c>
      <c r="W118">
        <v>130.5</v>
      </c>
      <c r="X118">
        <v>124.9</v>
      </c>
      <c r="Y118" s="1">
        <f t="shared" si="8"/>
        <v>250</v>
      </c>
      <c r="Z118">
        <v>122.4</v>
      </c>
      <c r="AA118">
        <v>125.1</v>
      </c>
      <c r="AB118">
        <v>122.9</v>
      </c>
      <c r="AC118">
        <v>110.9</v>
      </c>
      <c r="AD118">
        <v>120.6</v>
      </c>
      <c r="AE118">
        <v>126.9</v>
      </c>
      <c r="AF118">
        <v>117.3</v>
      </c>
      <c r="AG118">
        <v>119.3</v>
      </c>
      <c r="AH118">
        <v>126</v>
      </c>
      <c r="AI118">
        <f>SUM('Cleaned Data'!AC118,'Cleaned Data'!AE118,'Cleaned Data'!Z118,'Cleaned Data'!AA118)</f>
        <v>485.30000000000007</v>
      </c>
      <c r="AJ118" s="1">
        <f t="shared" si="9"/>
        <v>121.32499999999999</v>
      </c>
    </row>
    <row r="119" spans="1:36">
      <c r="A119" t="s">
        <v>93</v>
      </c>
      <c r="B119">
        <v>2016</v>
      </c>
      <c r="C119" t="s">
        <v>19</v>
      </c>
      <c r="D119">
        <v>127.4</v>
      </c>
      <c r="E119">
        <v>135.4</v>
      </c>
      <c r="F119">
        <v>123.4</v>
      </c>
      <c r="G119">
        <v>131.30000000000001</v>
      </c>
      <c r="H119">
        <v>118.2</v>
      </c>
      <c r="I119">
        <v>138.1</v>
      </c>
      <c r="J119">
        <v>134.1</v>
      </c>
      <c r="K119">
        <v>162.69999999999999</v>
      </c>
      <c r="L119">
        <v>105</v>
      </c>
      <c r="M119">
        <v>131.4</v>
      </c>
      <c r="N119">
        <v>125.4</v>
      </c>
      <c r="O119">
        <v>137.4</v>
      </c>
      <c r="P119" s="1">
        <f t="shared" si="5"/>
        <v>1576.2000000000003</v>
      </c>
      <c r="Q119">
        <v>131.80000000000001</v>
      </c>
      <c r="R119">
        <v>135.5</v>
      </c>
      <c r="S119" s="1">
        <f t="shared" si="6"/>
        <v>502.5</v>
      </c>
      <c r="T119">
        <v>135</v>
      </c>
      <c r="U119">
        <v>130.6</v>
      </c>
      <c r="V119" s="1">
        <f t="shared" si="7"/>
        <v>400</v>
      </c>
      <c r="W119">
        <v>134.4</v>
      </c>
      <c r="X119">
        <v>125.6</v>
      </c>
      <c r="Y119" s="1">
        <f t="shared" si="8"/>
        <v>253.6</v>
      </c>
      <c r="Z119">
        <v>127</v>
      </c>
      <c r="AA119">
        <v>128</v>
      </c>
      <c r="AB119">
        <v>125.2</v>
      </c>
      <c r="AC119">
        <v>114.4</v>
      </c>
      <c r="AD119">
        <v>123.2</v>
      </c>
      <c r="AE119">
        <v>127.9</v>
      </c>
      <c r="AF119">
        <v>118.4</v>
      </c>
      <c r="AG119">
        <v>121.7</v>
      </c>
      <c r="AH119">
        <v>129</v>
      </c>
      <c r="AI119">
        <f>SUM('Cleaned Data'!AC119,'Cleaned Data'!AE119,'Cleaned Data'!Z119,'Cleaned Data'!AA119)</f>
        <v>497.3</v>
      </c>
      <c r="AJ119" s="1">
        <f t="shared" si="9"/>
        <v>124.325</v>
      </c>
    </row>
    <row r="120" spans="1:36">
      <c r="A120" t="s">
        <v>94</v>
      </c>
      <c r="B120">
        <v>2016</v>
      </c>
      <c r="C120" t="s">
        <v>19</v>
      </c>
      <c r="D120">
        <v>124.9</v>
      </c>
      <c r="E120">
        <v>139.30000000000001</v>
      </c>
      <c r="F120">
        <v>119.9</v>
      </c>
      <c r="G120">
        <v>130.19999999999999</v>
      </c>
      <c r="H120">
        <v>108.9</v>
      </c>
      <c r="I120">
        <v>131.1</v>
      </c>
      <c r="J120">
        <v>136.80000000000001</v>
      </c>
      <c r="K120">
        <v>176.9</v>
      </c>
      <c r="L120">
        <v>109.1</v>
      </c>
      <c r="M120">
        <v>140.4</v>
      </c>
      <c r="N120">
        <v>121.1</v>
      </c>
      <c r="O120">
        <v>135.9</v>
      </c>
      <c r="P120" s="1">
        <f t="shared" si="5"/>
        <v>1585.2</v>
      </c>
      <c r="Q120">
        <v>131.80000000000001</v>
      </c>
      <c r="R120">
        <v>141.5</v>
      </c>
      <c r="S120" s="1">
        <f t="shared" si="6"/>
        <v>499.70000000000005</v>
      </c>
      <c r="T120">
        <v>126.8</v>
      </c>
      <c r="U120">
        <v>120.5</v>
      </c>
      <c r="V120" s="1">
        <f t="shared" si="7"/>
        <v>373.1</v>
      </c>
      <c r="W120">
        <v>125.8</v>
      </c>
      <c r="X120">
        <v>125.6</v>
      </c>
      <c r="Y120" s="1">
        <f t="shared" si="8"/>
        <v>248.39999999999998</v>
      </c>
      <c r="Z120">
        <v>114.6</v>
      </c>
      <c r="AA120">
        <v>122.8</v>
      </c>
      <c r="AB120">
        <v>120</v>
      </c>
      <c r="AC120">
        <v>110</v>
      </c>
      <c r="AD120">
        <v>119.5</v>
      </c>
      <c r="AE120">
        <v>127.6</v>
      </c>
      <c r="AF120">
        <v>117.6</v>
      </c>
      <c r="AG120">
        <v>118.2</v>
      </c>
      <c r="AH120">
        <v>125.3</v>
      </c>
      <c r="AI120">
        <f>SUM('Cleaned Data'!AC120,'Cleaned Data'!AE120,'Cleaned Data'!Z120,'Cleaned Data'!AA120)</f>
        <v>475</v>
      </c>
      <c r="AJ120" s="1">
        <f t="shared" si="9"/>
        <v>118.75</v>
      </c>
    </row>
    <row r="121" spans="1:36">
      <c r="A121" t="s">
        <v>6</v>
      </c>
      <c r="B121">
        <v>2016</v>
      </c>
      <c r="C121" t="s">
        <v>19</v>
      </c>
      <c r="D121">
        <v>126.6</v>
      </c>
      <c r="E121">
        <v>136.80000000000001</v>
      </c>
      <c r="F121">
        <v>122</v>
      </c>
      <c r="G121">
        <v>130.9</v>
      </c>
      <c r="H121">
        <v>114.8</v>
      </c>
      <c r="I121">
        <v>134.80000000000001</v>
      </c>
      <c r="J121">
        <v>135</v>
      </c>
      <c r="K121">
        <v>167.5</v>
      </c>
      <c r="L121">
        <v>106.4</v>
      </c>
      <c r="M121">
        <v>134.4</v>
      </c>
      <c r="N121">
        <v>123.6</v>
      </c>
      <c r="O121">
        <v>136.69999999999999</v>
      </c>
      <c r="P121" s="1">
        <f t="shared" si="5"/>
        <v>1577.6999999999998</v>
      </c>
      <c r="Q121">
        <v>131.80000000000001</v>
      </c>
      <c r="R121">
        <v>137.1</v>
      </c>
      <c r="S121" s="1">
        <f t="shared" si="6"/>
        <v>499.9</v>
      </c>
      <c r="T121">
        <v>131.80000000000001</v>
      </c>
      <c r="U121">
        <v>126.4</v>
      </c>
      <c r="V121" s="1">
        <f t="shared" si="7"/>
        <v>389.20000000000005</v>
      </c>
      <c r="W121">
        <v>131</v>
      </c>
      <c r="X121">
        <v>125.6</v>
      </c>
      <c r="Y121" s="1">
        <f t="shared" si="8"/>
        <v>251.1</v>
      </c>
      <c r="Z121">
        <v>122.3</v>
      </c>
      <c r="AA121">
        <v>125.5</v>
      </c>
      <c r="AB121">
        <v>123.2</v>
      </c>
      <c r="AC121">
        <v>112.1</v>
      </c>
      <c r="AD121">
        <v>121.1</v>
      </c>
      <c r="AE121">
        <v>127.7</v>
      </c>
      <c r="AF121">
        <v>118.1</v>
      </c>
      <c r="AG121">
        <v>120</v>
      </c>
      <c r="AH121">
        <v>127.3</v>
      </c>
      <c r="AI121">
        <f>SUM('Cleaned Data'!AC121,'Cleaned Data'!AE121,'Cleaned Data'!Z121,'Cleaned Data'!AA121)</f>
        <v>487.6</v>
      </c>
      <c r="AJ121" s="1">
        <f t="shared" si="9"/>
        <v>121.9</v>
      </c>
    </row>
    <row r="122" spans="1:36">
      <c r="A122" t="s">
        <v>93</v>
      </c>
      <c r="B122">
        <v>2016</v>
      </c>
      <c r="C122" t="s">
        <v>21</v>
      </c>
      <c r="D122">
        <v>127.6</v>
      </c>
      <c r="E122">
        <v>137.5</v>
      </c>
      <c r="F122">
        <v>124.4</v>
      </c>
      <c r="G122">
        <v>132.4</v>
      </c>
      <c r="H122">
        <v>118.2</v>
      </c>
      <c r="I122">
        <v>138.1</v>
      </c>
      <c r="J122">
        <v>141.80000000000001</v>
      </c>
      <c r="K122">
        <v>166</v>
      </c>
      <c r="L122">
        <v>107.5</v>
      </c>
      <c r="M122">
        <v>132.19999999999999</v>
      </c>
      <c r="N122">
        <v>126.1</v>
      </c>
      <c r="O122">
        <v>138.30000000000001</v>
      </c>
      <c r="P122" s="1">
        <f t="shared" si="5"/>
        <v>1597.6</v>
      </c>
      <c r="Q122">
        <v>133.6</v>
      </c>
      <c r="R122">
        <v>136</v>
      </c>
      <c r="S122" s="1">
        <f t="shared" si="6"/>
        <v>505.40000000000003</v>
      </c>
      <c r="T122">
        <v>135.4</v>
      </c>
      <c r="U122">
        <v>131.1</v>
      </c>
      <c r="V122" s="1">
        <f t="shared" si="7"/>
        <v>401.3</v>
      </c>
      <c r="W122">
        <v>134.80000000000001</v>
      </c>
      <c r="X122">
        <v>126</v>
      </c>
      <c r="Y122" s="1">
        <f t="shared" si="8"/>
        <v>254.5</v>
      </c>
      <c r="Z122">
        <v>127.4</v>
      </c>
      <c r="AA122">
        <v>128.5</v>
      </c>
      <c r="AB122">
        <v>125.8</v>
      </c>
      <c r="AC122">
        <v>115.1</v>
      </c>
      <c r="AD122">
        <v>123.6</v>
      </c>
      <c r="AE122">
        <v>129.1</v>
      </c>
      <c r="AF122">
        <v>119.7</v>
      </c>
      <c r="AG122">
        <v>122.5</v>
      </c>
      <c r="AH122">
        <v>130.30000000000001</v>
      </c>
      <c r="AI122">
        <f>SUM('Cleaned Data'!AC122,'Cleaned Data'!AE122,'Cleaned Data'!Z122,'Cleaned Data'!AA122)</f>
        <v>500.1</v>
      </c>
      <c r="AJ122" s="1">
        <f t="shared" si="9"/>
        <v>125.02500000000001</v>
      </c>
    </row>
    <row r="123" spans="1:36">
      <c r="A123" t="s">
        <v>94</v>
      </c>
      <c r="B123">
        <v>2016</v>
      </c>
      <c r="C123" t="s">
        <v>21</v>
      </c>
      <c r="D123">
        <v>125</v>
      </c>
      <c r="E123">
        <v>142.1</v>
      </c>
      <c r="F123">
        <v>127</v>
      </c>
      <c r="G123">
        <v>130.4</v>
      </c>
      <c r="H123">
        <v>109.6</v>
      </c>
      <c r="I123">
        <v>133.5</v>
      </c>
      <c r="J123">
        <v>151.4</v>
      </c>
      <c r="K123">
        <v>182.8</v>
      </c>
      <c r="L123">
        <v>111.1</v>
      </c>
      <c r="M123">
        <v>141.5</v>
      </c>
      <c r="N123">
        <v>121.5</v>
      </c>
      <c r="O123">
        <v>136.30000000000001</v>
      </c>
      <c r="P123" s="1">
        <f t="shared" si="5"/>
        <v>1625.3</v>
      </c>
      <c r="Q123">
        <v>134.6</v>
      </c>
      <c r="R123">
        <v>142.19999999999999</v>
      </c>
      <c r="S123" s="1">
        <f t="shared" si="6"/>
        <v>502</v>
      </c>
      <c r="T123">
        <v>127.2</v>
      </c>
      <c r="U123">
        <v>120.7</v>
      </c>
      <c r="V123" s="1">
        <f t="shared" si="7"/>
        <v>374.1</v>
      </c>
      <c r="W123">
        <v>126.2</v>
      </c>
      <c r="X123">
        <v>126</v>
      </c>
      <c r="Y123" s="1">
        <f t="shared" si="8"/>
        <v>249.2</v>
      </c>
      <c r="Z123">
        <v>115</v>
      </c>
      <c r="AA123">
        <v>123.2</v>
      </c>
      <c r="AB123">
        <v>120.3</v>
      </c>
      <c r="AC123">
        <v>110.7</v>
      </c>
      <c r="AD123">
        <v>119.8</v>
      </c>
      <c r="AE123">
        <v>128</v>
      </c>
      <c r="AF123">
        <v>118.5</v>
      </c>
      <c r="AG123">
        <v>118.7</v>
      </c>
      <c r="AH123">
        <v>126.6</v>
      </c>
      <c r="AI123">
        <f>SUM('Cleaned Data'!AC123,'Cleaned Data'!AE123,'Cleaned Data'!Z123,'Cleaned Data'!AA123)</f>
        <v>476.9</v>
      </c>
      <c r="AJ123" s="1">
        <f t="shared" si="9"/>
        <v>119.22499999999999</v>
      </c>
    </row>
    <row r="124" spans="1:36">
      <c r="A124" t="s">
        <v>6</v>
      </c>
      <c r="B124">
        <v>2016</v>
      </c>
      <c r="C124" t="s">
        <v>21</v>
      </c>
      <c r="D124">
        <v>126.8</v>
      </c>
      <c r="E124">
        <v>139.1</v>
      </c>
      <c r="F124">
        <v>125.4</v>
      </c>
      <c r="G124">
        <v>131.69999999999999</v>
      </c>
      <c r="H124">
        <v>115</v>
      </c>
      <c r="I124">
        <v>136</v>
      </c>
      <c r="J124">
        <v>145.1</v>
      </c>
      <c r="K124">
        <v>171.7</v>
      </c>
      <c r="L124">
        <v>108.7</v>
      </c>
      <c r="M124">
        <v>135.30000000000001</v>
      </c>
      <c r="N124">
        <v>124.2</v>
      </c>
      <c r="O124">
        <v>137.4</v>
      </c>
      <c r="P124" s="1">
        <f t="shared" si="5"/>
        <v>1606.2</v>
      </c>
      <c r="Q124">
        <v>134</v>
      </c>
      <c r="R124">
        <v>137.69999999999999</v>
      </c>
      <c r="S124" s="1">
        <f t="shared" si="6"/>
        <v>502.59999999999997</v>
      </c>
      <c r="T124">
        <v>132.19999999999999</v>
      </c>
      <c r="U124">
        <v>126.8</v>
      </c>
      <c r="V124" s="1">
        <f t="shared" si="7"/>
        <v>390.4</v>
      </c>
      <c r="W124">
        <v>131.4</v>
      </c>
      <c r="X124">
        <v>126</v>
      </c>
      <c r="Y124" s="1">
        <f t="shared" si="8"/>
        <v>252</v>
      </c>
      <c r="Z124">
        <v>122.7</v>
      </c>
      <c r="AA124">
        <v>126</v>
      </c>
      <c r="AB124">
        <v>123.7</v>
      </c>
      <c r="AC124">
        <v>112.8</v>
      </c>
      <c r="AD124">
        <v>121.5</v>
      </c>
      <c r="AE124">
        <v>128.5</v>
      </c>
      <c r="AF124">
        <v>119.2</v>
      </c>
      <c r="AG124">
        <v>120.7</v>
      </c>
      <c r="AH124">
        <v>128.6</v>
      </c>
      <c r="AI124">
        <f>SUM('Cleaned Data'!AC124,'Cleaned Data'!AE124,'Cleaned Data'!Z124,'Cleaned Data'!AA124)</f>
        <v>490</v>
      </c>
      <c r="AJ124" s="1">
        <f t="shared" si="9"/>
        <v>122.5</v>
      </c>
    </row>
    <row r="125" spans="1:36">
      <c r="A125" t="s">
        <v>93</v>
      </c>
      <c r="B125">
        <v>2016</v>
      </c>
      <c r="C125" t="s">
        <v>23</v>
      </c>
      <c r="D125">
        <v>128.6</v>
      </c>
      <c r="E125">
        <v>138.6</v>
      </c>
      <c r="F125">
        <v>126.6</v>
      </c>
      <c r="G125">
        <v>133.6</v>
      </c>
      <c r="H125">
        <v>118.6</v>
      </c>
      <c r="I125">
        <v>137.4</v>
      </c>
      <c r="J125">
        <v>152.5</v>
      </c>
      <c r="K125">
        <v>169.2</v>
      </c>
      <c r="L125">
        <v>108.8</v>
      </c>
      <c r="M125">
        <v>133.1</v>
      </c>
      <c r="N125">
        <v>126.4</v>
      </c>
      <c r="O125">
        <v>139.19999999999999</v>
      </c>
      <c r="P125" s="1">
        <f t="shared" si="5"/>
        <v>1622.1999999999996</v>
      </c>
      <c r="Q125">
        <v>136</v>
      </c>
      <c r="R125">
        <v>137.19999999999999</v>
      </c>
      <c r="S125" s="1">
        <f t="shared" si="6"/>
        <v>507.6</v>
      </c>
      <c r="T125">
        <v>136.30000000000001</v>
      </c>
      <c r="U125">
        <v>131.6</v>
      </c>
      <c r="V125" s="1">
        <f t="shared" si="7"/>
        <v>403.5</v>
      </c>
      <c r="W125">
        <v>135.6</v>
      </c>
      <c r="X125">
        <v>125.5</v>
      </c>
      <c r="Y125" s="1">
        <f t="shared" si="8"/>
        <v>254.8</v>
      </c>
      <c r="Z125">
        <v>128</v>
      </c>
      <c r="AA125">
        <v>129.30000000000001</v>
      </c>
      <c r="AB125">
        <v>126.2</v>
      </c>
      <c r="AC125">
        <v>116.3</v>
      </c>
      <c r="AD125">
        <v>124.1</v>
      </c>
      <c r="AE125">
        <v>130.19999999999999</v>
      </c>
      <c r="AF125">
        <v>119.9</v>
      </c>
      <c r="AG125">
        <v>123.3</v>
      </c>
      <c r="AH125">
        <v>131.9</v>
      </c>
      <c r="AI125">
        <f>SUM('Cleaned Data'!AC125,'Cleaned Data'!AE125,'Cleaned Data'!Z125,'Cleaned Data'!AA125)</f>
        <v>503.8</v>
      </c>
      <c r="AJ125" s="1">
        <f t="shared" si="9"/>
        <v>125.95</v>
      </c>
    </row>
    <row r="126" spans="1:36">
      <c r="A126" t="s">
        <v>94</v>
      </c>
      <c r="B126">
        <v>2016</v>
      </c>
      <c r="C126" t="s">
        <v>23</v>
      </c>
      <c r="D126">
        <v>125.9</v>
      </c>
      <c r="E126">
        <v>143.9</v>
      </c>
      <c r="F126">
        <v>130.9</v>
      </c>
      <c r="G126">
        <v>131</v>
      </c>
      <c r="H126">
        <v>110.2</v>
      </c>
      <c r="I126">
        <v>135.5</v>
      </c>
      <c r="J126">
        <v>173.7</v>
      </c>
      <c r="K126">
        <v>184.4</v>
      </c>
      <c r="L126">
        <v>112</v>
      </c>
      <c r="M126">
        <v>142.80000000000001</v>
      </c>
      <c r="N126">
        <v>121.6</v>
      </c>
      <c r="O126">
        <v>136.9</v>
      </c>
      <c r="P126" s="1">
        <f t="shared" si="5"/>
        <v>1665.4000000000003</v>
      </c>
      <c r="Q126">
        <v>138.19999999999999</v>
      </c>
      <c r="R126">
        <v>142.69999999999999</v>
      </c>
      <c r="S126" s="1">
        <f t="shared" si="6"/>
        <v>502.99999999999994</v>
      </c>
      <c r="T126">
        <v>127.6</v>
      </c>
      <c r="U126">
        <v>121.1</v>
      </c>
      <c r="V126" s="1">
        <f t="shared" si="7"/>
        <v>375.29999999999995</v>
      </c>
      <c r="W126">
        <v>126.6</v>
      </c>
      <c r="X126">
        <v>125.5</v>
      </c>
      <c r="Y126" s="1">
        <f t="shared" si="8"/>
        <v>248.7</v>
      </c>
      <c r="Z126">
        <v>115.5</v>
      </c>
      <c r="AA126">
        <v>123.2</v>
      </c>
      <c r="AB126">
        <v>120.6</v>
      </c>
      <c r="AC126">
        <v>112.3</v>
      </c>
      <c r="AD126">
        <v>119.9</v>
      </c>
      <c r="AE126">
        <v>129.30000000000001</v>
      </c>
      <c r="AF126">
        <v>118.8</v>
      </c>
      <c r="AG126">
        <v>119.6</v>
      </c>
      <c r="AH126">
        <v>128.1</v>
      </c>
      <c r="AI126">
        <f>SUM('Cleaned Data'!AC126,'Cleaned Data'!AE126,'Cleaned Data'!Z126,'Cleaned Data'!AA126)</f>
        <v>480.3</v>
      </c>
      <c r="AJ126" s="1">
        <f t="shared" si="9"/>
        <v>120.075</v>
      </c>
    </row>
    <row r="127" spans="1:36">
      <c r="A127" t="s">
        <v>6</v>
      </c>
      <c r="B127">
        <v>2016</v>
      </c>
      <c r="C127" t="s">
        <v>23</v>
      </c>
      <c r="D127">
        <v>127.7</v>
      </c>
      <c r="E127">
        <v>140.5</v>
      </c>
      <c r="F127">
        <v>128.30000000000001</v>
      </c>
      <c r="G127">
        <v>132.6</v>
      </c>
      <c r="H127">
        <v>115.5</v>
      </c>
      <c r="I127">
        <v>136.5</v>
      </c>
      <c r="J127">
        <v>159.69999999999999</v>
      </c>
      <c r="K127">
        <v>174.3</v>
      </c>
      <c r="L127">
        <v>109.9</v>
      </c>
      <c r="M127">
        <v>136.30000000000001</v>
      </c>
      <c r="N127">
        <v>124.4</v>
      </c>
      <c r="O127">
        <v>138.1</v>
      </c>
      <c r="P127" s="1">
        <f t="shared" si="5"/>
        <v>1636.1999999999998</v>
      </c>
      <c r="Q127">
        <v>136.80000000000001</v>
      </c>
      <c r="R127">
        <v>138.69999999999999</v>
      </c>
      <c r="S127" s="1">
        <f t="shared" si="6"/>
        <v>504.20000000000005</v>
      </c>
      <c r="T127">
        <v>132.9</v>
      </c>
      <c r="U127">
        <v>127.2</v>
      </c>
      <c r="V127" s="1">
        <f t="shared" si="7"/>
        <v>392.1</v>
      </c>
      <c r="W127">
        <v>132</v>
      </c>
      <c r="X127">
        <v>125.5</v>
      </c>
      <c r="Y127" s="1">
        <f t="shared" si="8"/>
        <v>251.9</v>
      </c>
      <c r="Z127">
        <v>123.3</v>
      </c>
      <c r="AA127">
        <v>126.4</v>
      </c>
      <c r="AB127">
        <v>124.1</v>
      </c>
      <c r="AC127">
        <v>114.2</v>
      </c>
      <c r="AD127">
        <v>121.7</v>
      </c>
      <c r="AE127">
        <v>129.69999999999999</v>
      </c>
      <c r="AF127">
        <v>119.4</v>
      </c>
      <c r="AG127">
        <v>121.5</v>
      </c>
      <c r="AH127">
        <v>130.1</v>
      </c>
      <c r="AI127">
        <f>SUM('Cleaned Data'!AC127,'Cleaned Data'!AE127,'Cleaned Data'!Z127,'Cleaned Data'!AA127)</f>
        <v>493.6</v>
      </c>
      <c r="AJ127" s="1">
        <f t="shared" si="9"/>
        <v>123.39999999999999</v>
      </c>
    </row>
    <row r="128" spans="1:36">
      <c r="A128" t="s">
        <v>93</v>
      </c>
      <c r="B128">
        <v>2016</v>
      </c>
      <c r="C128" t="s">
        <v>25</v>
      </c>
      <c r="D128">
        <v>129.30000000000001</v>
      </c>
      <c r="E128">
        <v>139.5</v>
      </c>
      <c r="F128">
        <v>129.6</v>
      </c>
      <c r="G128">
        <v>134.5</v>
      </c>
      <c r="H128">
        <v>119.5</v>
      </c>
      <c r="I128">
        <v>138.5</v>
      </c>
      <c r="J128">
        <v>158.19999999999999</v>
      </c>
      <c r="K128">
        <v>171.8</v>
      </c>
      <c r="L128">
        <v>110.3</v>
      </c>
      <c r="M128">
        <v>134.30000000000001</v>
      </c>
      <c r="N128">
        <v>127.3</v>
      </c>
      <c r="O128">
        <v>139.9</v>
      </c>
      <c r="P128" s="1">
        <f t="shared" si="5"/>
        <v>1642.9999999999998</v>
      </c>
      <c r="Q128">
        <v>137.6</v>
      </c>
      <c r="R128">
        <v>138</v>
      </c>
      <c r="S128" s="1">
        <f t="shared" si="6"/>
        <v>511.4</v>
      </c>
      <c r="T128">
        <v>137.19999999999999</v>
      </c>
      <c r="U128">
        <v>132.19999999999999</v>
      </c>
      <c r="V128" s="1">
        <f t="shared" si="7"/>
        <v>405.9</v>
      </c>
      <c r="W128">
        <v>136.5</v>
      </c>
      <c r="X128">
        <v>126.4</v>
      </c>
      <c r="Y128" s="1">
        <f t="shared" si="8"/>
        <v>256.39999999999998</v>
      </c>
      <c r="Z128">
        <v>128.19999999999999</v>
      </c>
      <c r="AA128">
        <v>130</v>
      </c>
      <c r="AB128">
        <v>126.7</v>
      </c>
      <c r="AC128">
        <v>116.4</v>
      </c>
      <c r="AD128">
        <v>125.2</v>
      </c>
      <c r="AE128">
        <v>130.80000000000001</v>
      </c>
      <c r="AF128">
        <v>120.9</v>
      </c>
      <c r="AG128">
        <v>123.8</v>
      </c>
      <c r="AH128">
        <v>133</v>
      </c>
      <c r="AI128">
        <f>SUM('Cleaned Data'!AC128,'Cleaned Data'!AE128,'Cleaned Data'!Z128,'Cleaned Data'!AA128)</f>
        <v>505.4</v>
      </c>
      <c r="AJ128" s="1">
        <f t="shared" si="9"/>
        <v>126.35000000000001</v>
      </c>
    </row>
    <row r="129" spans="1:36">
      <c r="A129" t="s">
        <v>94</v>
      </c>
      <c r="B129">
        <v>2016</v>
      </c>
      <c r="C129" t="s">
        <v>25</v>
      </c>
      <c r="D129">
        <v>126.8</v>
      </c>
      <c r="E129">
        <v>144.19999999999999</v>
      </c>
      <c r="F129">
        <v>136.6</v>
      </c>
      <c r="G129">
        <v>131.80000000000001</v>
      </c>
      <c r="H129">
        <v>111</v>
      </c>
      <c r="I129">
        <v>137</v>
      </c>
      <c r="J129">
        <v>179.5</v>
      </c>
      <c r="K129">
        <v>188.4</v>
      </c>
      <c r="L129">
        <v>113.3</v>
      </c>
      <c r="M129">
        <v>143.9</v>
      </c>
      <c r="N129">
        <v>121.7</v>
      </c>
      <c r="O129">
        <v>137.5</v>
      </c>
      <c r="P129" s="1">
        <f t="shared" si="5"/>
        <v>1689.8</v>
      </c>
      <c r="Q129">
        <v>139.80000000000001</v>
      </c>
      <c r="R129">
        <v>142.9</v>
      </c>
      <c r="S129" s="1">
        <f t="shared" si="6"/>
        <v>504.90000000000003</v>
      </c>
      <c r="T129">
        <v>127.9</v>
      </c>
      <c r="U129">
        <v>121.1</v>
      </c>
      <c r="V129" s="1">
        <f t="shared" si="7"/>
        <v>375.9</v>
      </c>
      <c r="W129">
        <v>126.9</v>
      </c>
      <c r="X129">
        <v>126.4</v>
      </c>
      <c r="Y129" s="1">
        <f t="shared" si="8"/>
        <v>249.9</v>
      </c>
      <c r="Z129">
        <v>115.5</v>
      </c>
      <c r="AA129">
        <v>123.5</v>
      </c>
      <c r="AB129">
        <v>120.9</v>
      </c>
      <c r="AC129">
        <v>111.7</v>
      </c>
      <c r="AD129">
        <v>120.3</v>
      </c>
      <c r="AE129">
        <v>130.80000000000001</v>
      </c>
      <c r="AF129">
        <v>120</v>
      </c>
      <c r="AG129">
        <v>119.9</v>
      </c>
      <c r="AH129">
        <v>129</v>
      </c>
      <c r="AI129">
        <f>SUM('Cleaned Data'!AC129,'Cleaned Data'!AE129,'Cleaned Data'!Z129,'Cleaned Data'!AA129)</f>
        <v>481.5</v>
      </c>
      <c r="AJ129" s="1">
        <f t="shared" si="9"/>
        <v>120.375</v>
      </c>
    </row>
    <row r="130" spans="1:36">
      <c r="A130" t="s">
        <v>6</v>
      </c>
      <c r="B130">
        <v>2016</v>
      </c>
      <c r="C130" t="s">
        <v>25</v>
      </c>
      <c r="D130">
        <v>128.5</v>
      </c>
      <c r="E130">
        <v>141.19999999999999</v>
      </c>
      <c r="F130">
        <v>132.30000000000001</v>
      </c>
      <c r="G130">
        <v>133.5</v>
      </c>
      <c r="H130">
        <v>116.4</v>
      </c>
      <c r="I130">
        <v>137.80000000000001</v>
      </c>
      <c r="J130">
        <v>165.4</v>
      </c>
      <c r="K130">
        <v>177.4</v>
      </c>
      <c r="L130">
        <v>111.3</v>
      </c>
      <c r="M130">
        <v>137.5</v>
      </c>
      <c r="N130">
        <v>125</v>
      </c>
      <c r="O130">
        <v>138.80000000000001</v>
      </c>
      <c r="P130" s="1">
        <f t="shared" si="5"/>
        <v>1658.5</v>
      </c>
      <c r="Q130">
        <v>138.4</v>
      </c>
      <c r="R130">
        <v>139.30000000000001</v>
      </c>
      <c r="S130" s="1">
        <f t="shared" si="6"/>
        <v>507.20000000000005</v>
      </c>
      <c r="T130">
        <v>133.5</v>
      </c>
      <c r="U130">
        <v>127.6</v>
      </c>
      <c r="V130" s="1">
        <f t="shared" si="7"/>
        <v>393.8</v>
      </c>
      <c r="W130">
        <v>132.69999999999999</v>
      </c>
      <c r="X130">
        <v>126.4</v>
      </c>
      <c r="Y130" s="1">
        <f t="shared" si="8"/>
        <v>253.3</v>
      </c>
      <c r="Z130">
        <v>123.4</v>
      </c>
      <c r="AA130">
        <v>126.9</v>
      </c>
      <c r="AB130">
        <v>124.5</v>
      </c>
      <c r="AC130">
        <v>113.9</v>
      </c>
      <c r="AD130">
        <v>122.4</v>
      </c>
      <c r="AE130">
        <v>130.80000000000001</v>
      </c>
      <c r="AF130">
        <v>120.5</v>
      </c>
      <c r="AG130">
        <v>121.9</v>
      </c>
      <c r="AH130">
        <v>131.1</v>
      </c>
      <c r="AI130">
        <f>SUM('Cleaned Data'!AC130,'Cleaned Data'!AE130,'Cleaned Data'!Z130,'Cleaned Data'!AA130)</f>
        <v>495</v>
      </c>
      <c r="AJ130" s="1">
        <f t="shared" si="9"/>
        <v>123.75</v>
      </c>
    </row>
    <row r="131" spans="1:36">
      <c r="A131" t="s">
        <v>93</v>
      </c>
      <c r="B131">
        <v>2016</v>
      </c>
      <c r="C131" t="s">
        <v>27</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s="1">
        <f t="shared" ref="P131:P194" si="10">SUM(O131,M131,L131,K131,J131,I131,H131,G131,F131,E131,D131,Q131)</f>
        <v>1649.3999999999999</v>
      </c>
      <c r="Q131">
        <v>138</v>
      </c>
      <c r="R131">
        <v>138.9</v>
      </c>
      <c r="S131" s="1">
        <f t="shared" ref="S131:S194" si="11">SUM(R131,N131,AD131,AF131)</f>
        <v>514.5</v>
      </c>
      <c r="T131">
        <v>137.80000000000001</v>
      </c>
      <c r="U131">
        <v>133</v>
      </c>
      <c r="V131" s="1">
        <f t="shared" ref="V131:V194" si="12">SUM(U131,T131,W131)</f>
        <v>407.9</v>
      </c>
      <c r="W131">
        <v>137.1</v>
      </c>
      <c r="X131">
        <v>127.3</v>
      </c>
      <c r="Y131" s="1">
        <f t="shared" ref="Y131:Y194" si="13">SUM(X131,AA131)</f>
        <v>257.89999999999998</v>
      </c>
      <c r="Z131">
        <v>129.1</v>
      </c>
      <c r="AA131">
        <v>130.6</v>
      </c>
      <c r="AB131">
        <v>127</v>
      </c>
      <c r="AC131">
        <v>116</v>
      </c>
      <c r="AD131">
        <v>125.5</v>
      </c>
      <c r="AE131">
        <v>131.9</v>
      </c>
      <c r="AF131">
        <v>122</v>
      </c>
      <c r="AG131">
        <v>124.2</v>
      </c>
      <c r="AH131">
        <v>133.5</v>
      </c>
      <c r="AI131">
        <f>SUM('Cleaned Data'!AC131,'Cleaned Data'!AE131,'Cleaned Data'!Z131,'Cleaned Data'!AA131)</f>
        <v>507.6</v>
      </c>
      <c r="AJ131" s="1">
        <f t="shared" ref="AJ131:AJ194" si="14">AVERAGE(AE131,AC131,AA131,Z131)</f>
        <v>126.9</v>
      </c>
    </row>
    <row r="132" spans="1:36">
      <c r="A132" t="s">
        <v>94</v>
      </c>
      <c r="B132">
        <v>2016</v>
      </c>
      <c r="C132" t="s">
        <v>27</v>
      </c>
      <c r="D132">
        <v>127.6</v>
      </c>
      <c r="E132">
        <v>140.30000000000001</v>
      </c>
      <c r="F132">
        <v>133.69999999999999</v>
      </c>
      <c r="G132">
        <v>132.19999999999999</v>
      </c>
      <c r="H132">
        <v>111.8</v>
      </c>
      <c r="I132">
        <v>135.80000000000001</v>
      </c>
      <c r="J132">
        <v>163.5</v>
      </c>
      <c r="K132">
        <v>182.3</v>
      </c>
      <c r="L132">
        <v>114.6</v>
      </c>
      <c r="M132">
        <v>144.6</v>
      </c>
      <c r="N132">
        <v>121.9</v>
      </c>
      <c r="O132">
        <v>138.1</v>
      </c>
      <c r="P132" s="1">
        <f t="shared" si="10"/>
        <v>1662.0999999999997</v>
      </c>
      <c r="Q132">
        <v>137.6</v>
      </c>
      <c r="R132">
        <v>143.6</v>
      </c>
      <c r="S132" s="1">
        <f t="shared" si="11"/>
        <v>507</v>
      </c>
      <c r="T132">
        <v>128.30000000000001</v>
      </c>
      <c r="U132">
        <v>121.4</v>
      </c>
      <c r="V132" s="1">
        <f t="shared" si="12"/>
        <v>377</v>
      </c>
      <c r="W132">
        <v>127.3</v>
      </c>
      <c r="X132">
        <v>127.3</v>
      </c>
      <c r="Y132" s="1">
        <f t="shared" si="13"/>
        <v>251.2</v>
      </c>
      <c r="Z132">
        <v>114.7</v>
      </c>
      <c r="AA132">
        <v>123.9</v>
      </c>
      <c r="AB132">
        <v>121.2</v>
      </c>
      <c r="AC132">
        <v>110.4</v>
      </c>
      <c r="AD132">
        <v>120.6</v>
      </c>
      <c r="AE132">
        <v>131.5</v>
      </c>
      <c r="AF132">
        <v>120.9</v>
      </c>
      <c r="AG132">
        <v>119.9</v>
      </c>
      <c r="AH132">
        <v>128.4</v>
      </c>
      <c r="AI132">
        <f>SUM('Cleaned Data'!AC132,'Cleaned Data'!AE132,'Cleaned Data'!Z132,'Cleaned Data'!AA132)</f>
        <v>480.5</v>
      </c>
      <c r="AJ132" s="1">
        <f t="shared" si="14"/>
        <v>120.125</v>
      </c>
    </row>
    <row r="133" spans="1:36">
      <c r="A133" t="s">
        <v>6</v>
      </c>
      <c r="B133">
        <v>2016</v>
      </c>
      <c r="C133" t="s">
        <v>27</v>
      </c>
      <c r="D133">
        <v>129.30000000000001</v>
      </c>
      <c r="E133">
        <v>139.30000000000001</v>
      </c>
      <c r="F133">
        <v>131.6</v>
      </c>
      <c r="G133">
        <v>134.1</v>
      </c>
      <c r="H133">
        <v>116.9</v>
      </c>
      <c r="I133">
        <v>138.1</v>
      </c>
      <c r="J133">
        <v>159.1</v>
      </c>
      <c r="K133">
        <v>175.6</v>
      </c>
      <c r="L133">
        <v>112.9</v>
      </c>
      <c r="M133">
        <v>138.1</v>
      </c>
      <c r="N133">
        <v>125.5</v>
      </c>
      <c r="O133">
        <v>139.5</v>
      </c>
      <c r="P133" s="1">
        <f t="shared" si="10"/>
        <v>1652.3999999999999</v>
      </c>
      <c r="Q133">
        <v>137.9</v>
      </c>
      <c r="R133">
        <v>140.19999999999999</v>
      </c>
      <c r="S133" s="1">
        <f t="shared" si="11"/>
        <v>509.9</v>
      </c>
      <c r="T133">
        <v>134.1</v>
      </c>
      <c r="U133">
        <v>128.19999999999999</v>
      </c>
      <c r="V133" s="1">
        <f t="shared" si="12"/>
        <v>395.49999999999994</v>
      </c>
      <c r="W133">
        <v>133.19999999999999</v>
      </c>
      <c r="X133">
        <v>127.3</v>
      </c>
      <c r="Y133" s="1">
        <f t="shared" si="13"/>
        <v>254.7</v>
      </c>
      <c r="Z133">
        <v>123.6</v>
      </c>
      <c r="AA133">
        <v>127.4</v>
      </c>
      <c r="AB133">
        <v>124.8</v>
      </c>
      <c r="AC133">
        <v>113.1</v>
      </c>
      <c r="AD133">
        <v>122.7</v>
      </c>
      <c r="AE133">
        <v>131.69999999999999</v>
      </c>
      <c r="AF133">
        <v>121.5</v>
      </c>
      <c r="AG133">
        <v>122.1</v>
      </c>
      <c r="AH133">
        <v>131.1</v>
      </c>
      <c r="AI133">
        <f>SUM('Cleaned Data'!AC133,'Cleaned Data'!AE133,'Cleaned Data'!Z133,'Cleaned Data'!AA133)</f>
        <v>495.79999999999995</v>
      </c>
      <c r="AJ133" s="1">
        <f t="shared" si="14"/>
        <v>123.94999999999999</v>
      </c>
    </row>
    <row r="134" spans="1:36">
      <c r="A134" t="s">
        <v>93</v>
      </c>
      <c r="B134">
        <v>2016</v>
      </c>
      <c r="C134" t="s">
        <v>29</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s="1">
        <f t="shared" si="10"/>
        <v>1641.9</v>
      </c>
      <c r="Q134">
        <v>137.19999999999999</v>
      </c>
      <c r="R134">
        <v>139.9</v>
      </c>
      <c r="S134" s="1">
        <f t="shared" si="11"/>
        <v>517.20000000000005</v>
      </c>
      <c r="T134">
        <v>138.5</v>
      </c>
      <c r="U134">
        <v>133.5</v>
      </c>
      <c r="V134" s="1">
        <f t="shared" si="12"/>
        <v>409.8</v>
      </c>
      <c r="W134">
        <v>137.80000000000001</v>
      </c>
      <c r="X134">
        <v>127.9</v>
      </c>
      <c r="Y134" s="1">
        <f t="shared" si="13"/>
        <v>259</v>
      </c>
      <c r="Z134">
        <v>129.69999999999999</v>
      </c>
      <c r="AA134">
        <v>131.1</v>
      </c>
      <c r="AB134">
        <v>127.8</v>
      </c>
      <c r="AC134">
        <v>117</v>
      </c>
      <c r="AD134">
        <v>125.7</v>
      </c>
      <c r="AE134">
        <v>132.19999999999999</v>
      </c>
      <c r="AF134">
        <v>122.8</v>
      </c>
      <c r="AG134">
        <v>124.9</v>
      </c>
      <c r="AH134">
        <v>133.4</v>
      </c>
      <c r="AI134">
        <f>SUM('Cleaned Data'!AC134,'Cleaned Data'!AE134,'Cleaned Data'!Z134,'Cleaned Data'!AA134)</f>
        <v>510</v>
      </c>
      <c r="AJ134" s="1">
        <f t="shared" si="14"/>
        <v>127.49999999999999</v>
      </c>
    </row>
    <row r="135" spans="1:36">
      <c r="A135" t="s">
        <v>94</v>
      </c>
      <c r="B135">
        <v>2016</v>
      </c>
      <c r="C135" t="s">
        <v>29</v>
      </c>
      <c r="D135">
        <v>128.1</v>
      </c>
      <c r="E135">
        <v>137.69999999999999</v>
      </c>
      <c r="F135">
        <v>130.6</v>
      </c>
      <c r="G135">
        <v>132.6</v>
      </c>
      <c r="H135">
        <v>111.9</v>
      </c>
      <c r="I135">
        <v>132.5</v>
      </c>
      <c r="J135">
        <v>152.9</v>
      </c>
      <c r="K135">
        <v>173.6</v>
      </c>
      <c r="L135">
        <v>115.1</v>
      </c>
      <c r="M135">
        <v>144.80000000000001</v>
      </c>
      <c r="N135">
        <v>122.1</v>
      </c>
      <c r="O135">
        <v>138.80000000000001</v>
      </c>
      <c r="P135" s="1">
        <f t="shared" si="10"/>
        <v>1634.3</v>
      </c>
      <c r="Q135">
        <v>135.69999999999999</v>
      </c>
      <c r="R135">
        <v>143.9</v>
      </c>
      <c r="S135" s="1">
        <f t="shared" si="11"/>
        <v>508</v>
      </c>
      <c r="T135">
        <v>128.69999999999999</v>
      </c>
      <c r="U135">
        <v>121.6</v>
      </c>
      <c r="V135" s="1">
        <f t="shared" si="12"/>
        <v>378</v>
      </c>
      <c r="W135">
        <v>127.7</v>
      </c>
      <c r="X135">
        <v>127.9</v>
      </c>
      <c r="Y135" s="1">
        <f t="shared" si="13"/>
        <v>252.2</v>
      </c>
      <c r="Z135">
        <v>114.8</v>
      </c>
      <c r="AA135">
        <v>124.3</v>
      </c>
      <c r="AB135">
        <v>121.4</v>
      </c>
      <c r="AC135">
        <v>111.8</v>
      </c>
      <c r="AD135">
        <v>120.8</v>
      </c>
      <c r="AE135">
        <v>131.6</v>
      </c>
      <c r="AF135">
        <v>121.2</v>
      </c>
      <c r="AG135">
        <v>120.5</v>
      </c>
      <c r="AH135">
        <v>128</v>
      </c>
      <c r="AI135">
        <f>SUM('Cleaned Data'!AC135,'Cleaned Data'!AE135,'Cleaned Data'!Z135,'Cleaned Data'!AA135)</f>
        <v>482.5</v>
      </c>
      <c r="AJ135" s="1">
        <f t="shared" si="14"/>
        <v>120.625</v>
      </c>
    </row>
    <row r="136" spans="1:36">
      <c r="A136" t="s">
        <v>6</v>
      </c>
      <c r="B136">
        <v>2016</v>
      </c>
      <c r="C136" t="s">
        <v>29</v>
      </c>
      <c r="D136">
        <v>129.9</v>
      </c>
      <c r="E136">
        <v>138</v>
      </c>
      <c r="F136">
        <v>130.5</v>
      </c>
      <c r="G136">
        <v>134.4</v>
      </c>
      <c r="H136">
        <v>117.2</v>
      </c>
      <c r="I136">
        <v>136.1</v>
      </c>
      <c r="J136">
        <v>150.69999999999999</v>
      </c>
      <c r="K136">
        <v>171.5</v>
      </c>
      <c r="L136">
        <v>113.8</v>
      </c>
      <c r="M136">
        <v>138.80000000000001</v>
      </c>
      <c r="N136">
        <v>126</v>
      </c>
      <c r="O136">
        <v>140.19999999999999</v>
      </c>
      <c r="P136" s="1">
        <f t="shared" si="10"/>
        <v>1637.7</v>
      </c>
      <c r="Q136">
        <v>136.6</v>
      </c>
      <c r="R136">
        <v>141</v>
      </c>
      <c r="S136" s="1">
        <f t="shared" si="11"/>
        <v>512</v>
      </c>
      <c r="T136">
        <v>134.6</v>
      </c>
      <c r="U136">
        <v>128.6</v>
      </c>
      <c r="V136" s="1">
        <f t="shared" si="12"/>
        <v>397</v>
      </c>
      <c r="W136">
        <v>133.80000000000001</v>
      </c>
      <c r="X136">
        <v>127.9</v>
      </c>
      <c r="Y136" s="1">
        <f t="shared" si="13"/>
        <v>255.8</v>
      </c>
      <c r="Z136">
        <v>124.1</v>
      </c>
      <c r="AA136">
        <v>127.9</v>
      </c>
      <c r="AB136">
        <v>125.4</v>
      </c>
      <c r="AC136">
        <v>114.3</v>
      </c>
      <c r="AD136">
        <v>122.9</v>
      </c>
      <c r="AE136">
        <v>131.80000000000001</v>
      </c>
      <c r="AF136">
        <v>122.1</v>
      </c>
      <c r="AG136">
        <v>122.8</v>
      </c>
      <c r="AH136">
        <v>130.9</v>
      </c>
      <c r="AI136">
        <f>SUM('Cleaned Data'!AC136,'Cleaned Data'!AE136,'Cleaned Data'!Z136,'Cleaned Data'!AA136)</f>
        <v>498.1</v>
      </c>
      <c r="AJ136" s="1">
        <f t="shared" si="14"/>
        <v>124.52500000000001</v>
      </c>
    </row>
    <row r="137" spans="1:36">
      <c r="A137" t="s">
        <v>93</v>
      </c>
      <c r="B137">
        <v>2016</v>
      </c>
      <c r="C137" t="s">
        <v>31</v>
      </c>
      <c r="D137">
        <v>131.30000000000001</v>
      </c>
      <c r="E137">
        <v>137.6</v>
      </c>
      <c r="F137">
        <v>130.1</v>
      </c>
      <c r="G137">
        <v>136</v>
      </c>
      <c r="H137">
        <v>120.8</v>
      </c>
      <c r="I137">
        <v>138.4</v>
      </c>
      <c r="J137">
        <v>149.19999999999999</v>
      </c>
      <c r="K137">
        <v>170.2</v>
      </c>
      <c r="L137">
        <v>113.4</v>
      </c>
      <c r="M137">
        <v>136.30000000000001</v>
      </c>
      <c r="N137">
        <v>128.69999999999999</v>
      </c>
      <c r="O137">
        <v>142.4</v>
      </c>
      <c r="P137" s="1">
        <f t="shared" si="10"/>
        <v>1643.0999999999997</v>
      </c>
      <c r="Q137">
        <v>137.4</v>
      </c>
      <c r="R137">
        <v>140.9</v>
      </c>
      <c r="S137" s="1">
        <f t="shared" si="11"/>
        <v>519.1</v>
      </c>
      <c r="T137">
        <v>139.6</v>
      </c>
      <c r="U137">
        <v>134.30000000000001</v>
      </c>
      <c r="V137" s="1">
        <f t="shared" si="12"/>
        <v>412.7</v>
      </c>
      <c r="W137">
        <v>138.80000000000001</v>
      </c>
      <c r="X137">
        <v>128.69999999999999</v>
      </c>
      <c r="Y137" s="1">
        <f t="shared" si="13"/>
        <v>260.5</v>
      </c>
      <c r="Z137">
        <v>129.80000000000001</v>
      </c>
      <c r="AA137">
        <v>131.80000000000001</v>
      </c>
      <c r="AB137">
        <v>128.69999999999999</v>
      </c>
      <c r="AC137">
        <v>117.8</v>
      </c>
      <c r="AD137">
        <v>126.5</v>
      </c>
      <c r="AE137">
        <v>133</v>
      </c>
      <c r="AF137">
        <v>123</v>
      </c>
      <c r="AG137">
        <v>125.7</v>
      </c>
      <c r="AH137">
        <v>133.80000000000001</v>
      </c>
      <c r="AI137">
        <f>SUM('Cleaned Data'!AC137,'Cleaned Data'!AE137,'Cleaned Data'!Z137,'Cleaned Data'!AA137)</f>
        <v>512.40000000000009</v>
      </c>
      <c r="AJ137" s="1">
        <f t="shared" si="14"/>
        <v>128.10000000000002</v>
      </c>
    </row>
    <row r="138" spans="1:36">
      <c r="A138" t="s">
        <v>94</v>
      </c>
      <c r="B138">
        <v>2016</v>
      </c>
      <c r="C138" t="s">
        <v>31</v>
      </c>
      <c r="D138">
        <v>128.69999999999999</v>
      </c>
      <c r="E138">
        <v>138.4</v>
      </c>
      <c r="F138">
        <v>130.30000000000001</v>
      </c>
      <c r="G138">
        <v>132.69999999999999</v>
      </c>
      <c r="H138">
        <v>112.5</v>
      </c>
      <c r="I138">
        <v>130.4</v>
      </c>
      <c r="J138">
        <v>155.1</v>
      </c>
      <c r="K138">
        <v>175.7</v>
      </c>
      <c r="L138">
        <v>115.4</v>
      </c>
      <c r="M138">
        <v>145.30000000000001</v>
      </c>
      <c r="N138">
        <v>122.5</v>
      </c>
      <c r="O138">
        <v>139.6</v>
      </c>
      <c r="P138" s="1">
        <f t="shared" si="10"/>
        <v>1640.4</v>
      </c>
      <c r="Q138">
        <v>136.30000000000001</v>
      </c>
      <c r="R138">
        <v>144.30000000000001</v>
      </c>
      <c r="S138" s="1">
        <f t="shared" si="11"/>
        <v>508.8</v>
      </c>
      <c r="T138">
        <v>129.1</v>
      </c>
      <c r="U138">
        <v>121.9</v>
      </c>
      <c r="V138" s="1">
        <f t="shared" si="12"/>
        <v>379</v>
      </c>
      <c r="W138">
        <v>128</v>
      </c>
      <c r="X138">
        <v>128.69999999999999</v>
      </c>
      <c r="Y138" s="1">
        <f t="shared" si="13"/>
        <v>253.2</v>
      </c>
      <c r="Z138">
        <v>115.2</v>
      </c>
      <c r="AA138">
        <v>124.5</v>
      </c>
      <c r="AB138">
        <v>121.8</v>
      </c>
      <c r="AC138">
        <v>112.8</v>
      </c>
      <c r="AD138">
        <v>121.2</v>
      </c>
      <c r="AE138">
        <v>131.9</v>
      </c>
      <c r="AF138">
        <v>120.8</v>
      </c>
      <c r="AG138">
        <v>120.9</v>
      </c>
      <c r="AH138">
        <v>128.6</v>
      </c>
      <c r="AI138">
        <f>SUM('Cleaned Data'!AC138,'Cleaned Data'!AE138,'Cleaned Data'!Z138,'Cleaned Data'!AA138)</f>
        <v>484.4</v>
      </c>
      <c r="AJ138" s="1">
        <f t="shared" si="14"/>
        <v>121.1</v>
      </c>
    </row>
    <row r="139" spans="1:36">
      <c r="A139" t="s">
        <v>6</v>
      </c>
      <c r="B139">
        <v>2016</v>
      </c>
      <c r="C139" t="s">
        <v>31</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s="1">
        <f t="shared" si="10"/>
        <v>1640.7</v>
      </c>
      <c r="Q139">
        <v>137</v>
      </c>
      <c r="R139">
        <v>141.80000000000001</v>
      </c>
      <c r="S139" s="1">
        <f t="shared" si="11"/>
        <v>513.5</v>
      </c>
      <c r="T139">
        <v>135.5</v>
      </c>
      <c r="U139">
        <v>129.1</v>
      </c>
      <c r="V139" s="1">
        <f t="shared" si="12"/>
        <v>399.1</v>
      </c>
      <c r="W139">
        <v>134.5</v>
      </c>
      <c r="X139">
        <v>128.69999999999999</v>
      </c>
      <c r="Y139" s="1">
        <f t="shared" si="13"/>
        <v>257.10000000000002</v>
      </c>
      <c r="Z139">
        <v>124.3</v>
      </c>
      <c r="AA139">
        <v>128.4</v>
      </c>
      <c r="AB139">
        <v>126.1</v>
      </c>
      <c r="AC139">
        <v>115.2</v>
      </c>
      <c r="AD139">
        <v>123.5</v>
      </c>
      <c r="AE139">
        <v>132.4</v>
      </c>
      <c r="AF139">
        <v>122.1</v>
      </c>
      <c r="AG139">
        <v>123.4</v>
      </c>
      <c r="AH139">
        <v>131.4</v>
      </c>
      <c r="AI139">
        <f>SUM('Cleaned Data'!AC139,'Cleaned Data'!AE139,'Cleaned Data'!Z139,'Cleaned Data'!AA139)</f>
        <v>500.30000000000007</v>
      </c>
      <c r="AJ139" s="1">
        <f t="shared" si="14"/>
        <v>125.075</v>
      </c>
    </row>
    <row r="140" spans="1:36">
      <c r="A140" t="s">
        <v>93</v>
      </c>
      <c r="B140">
        <v>2016</v>
      </c>
      <c r="C140" t="s">
        <v>33</v>
      </c>
      <c r="D140">
        <v>132</v>
      </c>
      <c r="E140">
        <v>137.4</v>
      </c>
      <c r="F140">
        <v>130.6</v>
      </c>
      <c r="G140">
        <v>136.19999999999999</v>
      </c>
      <c r="H140">
        <v>121.1</v>
      </c>
      <c r="I140">
        <v>136.9</v>
      </c>
      <c r="J140">
        <v>141.80000000000001</v>
      </c>
      <c r="K140">
        <v>170</v>
      </c>
      <c r="L140">
        <v>113.4</v>
      </c>
      <c r="M140">
        <v>136.80000000000001</v>
      </c>
      <c r="N140">
        <v>128.69999999999999</v>
      </c>
      <c r="O140">
        <v>143.1</v>
      </c>
      <c r="P140" s="1">
        <f t="shared" si="10"/>
        <v>1635.8999999999999</v>
      </c>
      <c r="Q140">
        <v>136.6</v>
      </c>
      <c r="R140">
        <v>141.19999999999999</v>
      </c>
      <c r="S140" s="1">
        <f t="shared" si="11"/>
        <v>520.29999999999995</v>
      </c>
      <c r="T140">
        <v>139.9</v>
      </c>
      <c r="U140">
        <v>134.5</v>
      </c>
      <c r="V140" s="1">
        <f t="shared" si="12"/>
        <v>413.59999999999997</v>
      </c>
      <c r="W140">
        <v>139.19999999999999</v>
      </c>
      <c r="X140">
        <v>129.1</v>
      </c>
      <c r="Y140" s="1">
        <f t="shared" si="13"/>
        <v>261.2</v>
      </c>
      <c r="Z140">
        <v>130.30000000000001</v>
      </c>
      <c r="AA140">
        <v>132.1</v>
      </c>
      <c r="AB140">
        <v>129.1</v>
      </c>
      <c r="AC140">
        <v>118.2</v>
      </c>
      <c r="AD140">
        <v>126.9</v>
      </c>
      <c r="AE140">
        <v>133.69999999999999</v>
      </c>
      <c r="AF140">
        <v>123.5</v>
      </c>
      <c r="AG140">
        <v>126.1</v>
      </c>
      <c r="AH140">
        <v>133.6</v>
      </c>
      <c r="AI140">
        <f>SUM('Cleaned Data'!AC140,'Cleaned Data'!AE140,'Cleaned Data'!Z140,'Cleaned Data'!AA140)</f>
        <v>514.29999999999995</v>
      </c>
      <c r="AJ140" s="1">
        <f t="shared" si="14"/>
        <v>128.57499999999999</v>
      </c>
    </row>
    <row r="141" spans="1:36">
      <c r="A141" t="s">
        <v>94</v>
      </c>
      <c r="B141">
        <v>2016</v>
      </c>
      <c r="C141" t="s">
        <v>33</v>
      </c>
      <c r="D141">
        <v>130.19999999999999</v>
      </c>
      <c r="E141">
        <v>138.5</v>
      </c>
      <c r="F141">
        <v>134.1</v>
      </c>
      <c r="G141">
        <v>132.9</v>
      </c>
      <c r="H141">
        <v>112.6</v>
      </c>
      <c r="I141">
        <v>130.80000000000001</v>
      </c>
      <c r="J141">
        <v>142</v>
      </c>
      <c r="K141">
        <v>174.9</v>
      </c>
      <c r="L141">
        <v>115.6</v>
      </c>
      <c r="M141">
        <v>145.4</v>
      </c>
      <c r="N141">
        <v>122.7</v>
      </c>
      <c r="O141">
        <v>140.30000000000001</v>
      </c>
      <c r="P141" s="1">
        <f t="shared" si="10"/>
        <v>1632.5</v>
      </c>
      <c r="Q141">
        <v>135.19999999999999</v>
      </c>
      <c r="R141">
        <v>144.30000000000001</v>
      </c>
      <c r="S141" s="1">
        <f t="shared" si="11"/>
        <v>510</v>
      </c>
      <c r="T141">
        <v>129.6</v>
      </c>
      <c r="U141">
        <v>122.1</v>
      </c>
      <c r="V141" s="1">
        <f t="shared" si="12"/>
        <v>380.2</v>
      </c>
      <c r="W141">
        <v>128.5</v>
      </c>
      <c r="X141">
        <v>129.1</v>
      </c>
      <c r="Y141" s="1">
        <f t="shared" si="13"/>
        <v>253.8</v>
      </c>
      <c r="Z141">
        <v>116.2</v>
      </c>
      <c r="AA141">
        <v>124.7</v>
      </c>
      <c r="AB141">
        <v>122.1</v>
      </c>
      <c r="AC141">
        <v>113.4</v>
      </c>
      <c r="AD141">
        <v>121.7</v>
      </c>
      <c r="AE141">
        <v>132.1</v>
      </c>
      <c r="AF141">
        <v>121.3</v>
      </c>
      <c r="AG141">
        <v>121.3</v>
      </c>
      <c r="AH141">
        <v>128.5</v>
      </c>
      <c r="AI141">
        <f>SUM('Cleaned Data'!AC141,'Cleaned Data'!AE141,'Cleaned Data'!Z141,'Cleaned Data'!AA141)</f>
        <v>486.4</v>
      </c>
      <c r="AJ141" s="1">
        <f t="shared" si="14"/>
        <v>121.6</v>
      </c>
    </row>
    <row r="142" spans="1:36">
      <c r="A142" t="s">
        <v>6</v>
      </c>
      <c r="B142">
        <v>2016</v>
      </c>
      <c r="C142" t="s">
        <v>33</v>
      </c>
      <c r="D142">
        <v>131.4</v>
      </c>
      <c r="E142">
        <v>137.80000000000001</v>
      </c>
      <c r="F142">
        <v>132</v>
      </c>
      <c r="G142">
        <v>135</v>
      </c>
      <c r="H142">
        <v>118</v>
      </c>
      <c r="I142">
        <v>134.1</v>
      </c>
      <c r="J142">
        <v>141.9</v>
      </c>
      <c r="K142">
        <v>171.7</v>
      </c>
      <c r="L142">
        <v>114.1</v>
      </c>
      <c r="M142">
        <v>139.69999999999999</v>
      </c>
      <c r="N142">
        <v>126.2</v>
      </c>
      <c r="O142">
        <v>141.80000000000001</v>
      </c>
      <c r="P142" s="1">
        <f t="shared" si="10"/>
        <v>1633.6</v>
      </c>
      <c r="Q142">
        <v>136.1</v>
      </c>
      <c r="R142">
        <v>142</v>
      </c>
      <c r="S142" s="1">
        <f t="shared" si="11"/>
        <v>514.79999999999995</v>
      </c>
      <c r="T142">
        <v>135.80000000000001</v>
      </c>
      <c r="U142">
        <v>129.30000000000001</v>
      </c>
      <c r="V142" s="1">
        <f t="shared" si="12"/>
        <v>400.1</v>
      </c>
      <c r="W142">
        <v>135</v>
      </c>
      <c r="X142">
        <v>129.1</v>
      </c>
      <c r="Y142" s="1">
        <f t="shared" si="13"/>
        <v>257.7</v>
      </c>
      <c r="Z142">
        <v>125</v>
      </c>
      <c r="AA142">
        <v>128.6</v>
      </c>
      <c r="AB142">
        <v>126.4</v>
      </c>
      <c r="AC142">
        <v>115.7</v>
      </c>
      <c r="AD142">
        <v>124</v>
      </c>
      <c r="AE142">
        <v>132.80000000000001</v>
      </c>
      <c r="AF142">
        <v>122.6</v>
      </c>
      <c r="AG142">
        <v>123.8</v>
      </c>
      <c r="AH142">
        <v>131.19999999999999</v>
      </c>
      <c r="AI142">
        <f>SUM('Cleaned Data'!AC142,'Cleaned Data'!AE142,'Cleaned Data'!Z142,'Cleaned Data'!AA142)</f>
        <v>502.1</v>
      </c>
      <c r="AJ142" s="1">
        <f t="shared" si="14"/>
        <v>125.52500000000001</v>
      </c>
    </row>
    <row r="143" spans="1:36">
      <c r="A143" t="s">
        <v>93</v>
      </c>
      <c r="B143">
        <v>2016</v>
      </c>
      <c r="C143" t="s">
        <v>35</v>
      </c>
      <c r="D143">
        <v>132.6</v>
      </c>
      <c r="E143">
        <v>137.30000000000001</v>
      </c>
      <c r="F143">
        <v>131.6</v>
      </c>
      <c r="G143">
        <v>136.30000000000001</v>
      </c>
      <c r="H143">
        <v>121.6</v>
      </c>
      <c r="I143">
        <v>135.6</v>
      </c>
      <c r="J143">
        <v>127.5</v>
      </c>
      <c r="K143">
        <v>167.9</v>
      </c>
      <c r="L143">
        <v>113.8</v>
      </c>
      <c r="M143">
        <v>137.5</v>
      </c>
      <c r="N143">
        <v>129.1</v>
      </c>
      <c r="O143">
        <v>143.6</v>
      </c>
      <c r="P143" s="1">
        <f t="shared" si="10"/>
        <v>1620</v>
      </c>
      <c r="Q143">
        <v>134.69999999999999</v>
      </c>
      <c r="R143">
        <v>142.4</v>
      </c>
      <c r="S143" s="1">
        <f t="shared" si="11"/>
        <v>520.70000000000005</v>
      </c>
      <c r="T143">
        <v>140.4</v>
      </c>
      <c r="U143">
        <v>135.19999999999999</v>
      </c>
      <c r="V143" s="1">
        <f t="shared" si="12"/>
        <v>415.3</v>
      </c>
      <c r="W143">
        <v>139.69999999999999</v>
      </c>
      <c r="X143" t="s">
        <v>95</v>
      </c>
      <c r="Y143" s="1">
        <f t="shared" si="13"/>
        <v>132.9</v>
      </c>
      <c r="Z143">
        <v>132</v>
      </c>
      <c r="AA143">
        <v>132.9</v>
      </c>
      <c r="AB143">
        <v>129.69999999999999</v>
      </c>
      <c r="AC143">
        <v>118.6</v>
      </c>
      <c r="AD143">
        <v>127.3</v>
      </c>
      <c r="AE143">
        <v>134.19999999999999</v>
      </c>
      <c r="AF143">
        <v>121.9</v>
      </c>
      <c r="AG143">
        <v>126.3</v>
      </c>
      <c r="AH143">
        <v>132.80000000000001</v>
      </c>
      <c r="AI143">
        <f>SUM('Cleaned Data'!AC143,'Cleaned Data'!AE143,'Cleaned Data'!Z143,'Cleaned Data'!AA143)</f>
        <v>517.69999999999993</v>
      </c>
      <c r="AJ143" s="1">
        <f t="shared" si="14"/>
        <v>129.42500000000001</v>
      </c>
    </row>
    <row r="144" spans="1:36">
      <c r="A144" t="s">
        <v>94</v>
      </c>
      <c r="B144">
        <v>2016</v>
      </c>
      <c r="C144" t="s">
        <v>35</v>
      </c>
      <c r="D144">
        <v>131.6</v>
      </c>
      <c r="E144">
        <v>138.19999999999999</v>
      </c>
      <c r="F144">
        <v>134.9</v>
      </c>
      <c r="G144">
        <v>133.1</v>
      </c>
      <c r="H144">
        <v>113.5</v>
      </c>
      <c r="I144">
        <v>129.30000000000001</v>
      </c>
      <c r="J144">
        <v>121.1</v>
      </c>
      <c r="K144">
        <v>170.3</v>
      </c>
      <c r="L144">
        <v>115.5</v>
      </c>
      <c r="M144">
        <v>145.5</v>
      </c>
      <c r="N144">
        <v>123.1</v>
      </c>
      <c r="O144">
        <v>140.9</v>
      </c>
      <c r="P144" s="1">
        <f t="shared" si="10"/>
        <v>1606.7</v>
      </c>
      <c r="Q144">
        <v>132.80000000000001</v>
      </c>
      <c r="R144">
        <v>145</v>
      </c>
      <c r="S144" s="1">
        <f t="shared" si="11"/>
        <v>509.80000000000007</v>
      </c>
      <c r="T144">
        <v>130</v>
      </c>
      <c r="U144">
        <v>122.2</v>
      </c>
      <c r="V144" s="1">
        <f t="shared" si="12"/>
        <v>381</v>
      </c>
      <c r="W144">
        <v>128.80000000000001</v>
      </c>
      <c r="X144">
        <v>128.5</v>
      </c>
      <c r="Y144" s="1">
        <f t="shared" si="13"/>
        <v>253.5</v>
      </c>
      <c r="Z144">
        <v>117.8</v>
      </c>
      <c r="AA144">
        <v>125</v>
      </c>
      <c r="AB144">
        <v>122.3</v>
      </c>
      <c r="AC144">
        <v>113.7</v>
      </c>
      <c r="AD144">
        <v>121.8</v>
      </c>
      <c r="AE144">
        <v>132.30000000000001</v>
      </c>
      <c r="AF144">
        <v>119.9</v>
      </c>
      <c r="AG144">
        <v>121.4</v>
      </c>
      <c r="AH144">
        <v>127.6</v>
      </c>
      <c r="AI144">
        <f>SUM('Cleaned Data'!AC144,'Cleaned Data'!AE144,'Cleaned Data'!Z144,'Cleaned Data'!AA144)</f>
        <v>488.8</v>
      </c>
      <c r="AJ144" s="1">
        <f t="shared" si="14"/>
        <v>122.2</v>
      </c>
    </row>
    <row r="145" spans="1:36">
      <c r="A145" t="s">
        <v>6</v>
      </c>
      <c r="B145">
        <v>2016</v>
      </c>
      <c r="C145" t="s">
        <v>35</v>
      </c>
      <c r="D145">
        <v>132.30000000000001</v>
      </c>
      <c r="E145">
        <v>137.6</v>
      </c>
      <c r="F145">
        <v>132.9</v>
      </c>
      <c r="G145">
        <v>135.1</v>
      </c>
      <c r="H145">
        <v>118.6</v>
      </c>
      <c r="I145">
        <v>132.69999999999999</v>
      </c>
      <c r="J145">
        <v>125.3</v>
      </c>
      <c r="K145">
        <v>168.7</v>
      </c>
      <c r="L145">
        <v>114.4</v>
      </c>
      <c r="M145">
        <v>140.19999999999999</v>
      </c>
      <c r="N145">
        <v>126.6</v>
      </c>
      <c r="O145">
        <v>142.30000000000001</v>
      </c>
      <c r="P145" s="1">
        <f t="shared" si="10"/>
        <v>1614.1</v>
      </c>
      <c r="Q145">
        <v>134</v>
      </c>
      <c r="R145">
        <v>143.1</v>
      </c>
      <c r="S145" s="1">
        <f t="shared" si="11"/>
        <v>515</v>
      </c>
      <c r="T145">
        <v>136.30000000000001</v>
      </c>
      <c r="U145">
        <v>129.80000000000001</v>
      </c>
      <c r="V145" s="1">
        <f t="shared" si="12"/>
        <v>401.5</v>
      </c>
      <c r="W145">
        <v>135.4</v>
      </c>
      <c r="X145">
        <v>128.5</v>
      </c>
      <c r="Y145" s="1">
        <f t="shared" si="13"/>
        <v>257.7</v>
      </c>
      <c r="Z145">
        <v>126.6</v>
      </c>
      <c r="AA145">
        <v>129.19999999999999</v>
      </c>
      <c r="AB145">
        <v>126.9</v>
      </c>
      <c r="AC145">
        <v>116</v>
      </c>
      <c r="AD145">
        <v>124.2</v>
      </c>
      <c r="AE145">
        <v>133.1</v>
      </c>
      <c r="AF145">
        <v>121.1</v>
      </c>
      <c r="AG145">
        <v>123.9</v>
      </c>
      <c r="AH145">
        <v>130.4</v>
      </c>
      <c r="AI145">
        <f>SUM('Cleaned Data'!AC145,'Cleaned Data'!AE145,'Cleaned Data'!Z145,'Cleaned Data'!AA145)</f>
        <v>504.9</v>
      </c>
      <c r="AJ145" s="1">
        <f t="shared" si="14"/>
        <v>126.22499999999999</v>
      </c>
    </row>
    <row r="146" spans="1:36">
      <c r="A146" t="s">
        <v>93</v>
      </c>
      <c r="B146">
        <v>2017</v>
      </c>
      <c r="C146" t="s">
        <v>11</v>
      </c>
      <c r="D146">
        <v>133.1</v>
      </c>
      <c r="E146">
        <v>137.80000000000001</v>
      </c>
      <c r="F146">
        <v>131.9</v>
      </c>
      <c r="G146">
        <v>136.69999999999999</v>
      </c>
      <c r="H146">
        <v>122</v>
      </c>
      <c r="I146">
        <v>136</v>
      </c>
      <c r="J146">
        <v>119.8</v>
      </c>
      <c r="K146">
        <v>161.69999999999999</v>
      </c>
      <c r="L146">
        <v>114.8</v>
      </c>
      <c r="M146">
        <v>136.9</v>
      </c>
      <c r="N146">
        <v>129</v>
      </c>
      <c r="O146">
        <v>143.9</v>
      </c>
      <c r="P146" s="1">
        <f t="shared" si="10"/>
        <v>1608.3</v>
      </c>
      <c r="Q146">
        <v>133.69999999999999</v>
      </c>
      <c r="R146">
        <v>143.1</v>
      </c>
      <c r="S146" s="1">
        <f t="shared" si="11"/>
        <v>521.4</v>
      </c>
      <c r="T146">
        <v>140.69999999999999</v>
      </c>
      <c r="U146">
        <v>135.80000000000001</v>
      </c>
      <c r="V146" s="1">
        <f t="shared" si="12"/>
        <v>416.5</v>
      </c>
      <c r="W146">
        <v>140</v>
      </c>
      <c r="X146">
        <v>129.6</v>
      </c>
      <c r="Y146" s="1">
        <f t="shared" si="13"/>
        <v>262.79999999999995</v>
      </c>
      <c r="Z146">
        <v>132.1</v>
      </c>
      <c r="AA146">
        <v>133.19999999999999</v>
      </c>
      <c r="AB146">
        <v>129.9</v>
      </c>
      <c r="AC146">
        <v>119.1</v>
      </c>
      <c r="AD146">
        <v>127</v>
      </c>
      <c r="AE146">
        <v>134.6</v>
      </c>
      <c r="AF146">
        <v>122.3</v>
      </c>
      <c r="AG146">
        <v>126.6</v>
      </c>
      <c r="AH146">
        <v>132.4</v>
      </c>
      <c r="AI146">
        <f>SUM('Cleaned Data'!AC146,'Cleaned Data'!AE146,'Cleaned Data'!Z146,'Cleaned Data'!AA146)</f>
        <v>519</v>
      </c>
      <c r="AJ146" s="1">
        <f t="shared" si="14"/>
        <v>129.75</v>
      </c>
    </row>
    <row r="147" spans="1:36">
      <c r="A147" t="s">
        <v>94</v>
      </c>
      <c r="B147">
        <v>2017</v>
      </c>
      <c r="C147" t="s">
        <v>11</v>
      </c>
      <c r="D147">
        <v>132.19999999999999</v>
      </c>
      <c r="E147">
        <v>138.9</v>
      </c>
      <c r="F147">
        <v>132.6</v>
      </c>
      <c r="G147">
        <v>133.1</v>
      </c>
      <c r="H147">
        <v>114</v>
      </c>
      <c r="I147">
        <v>129.6</v>
      </c>
      <c r="J147">
        <v>118.7</v>
      </c>
      <c r="K147">
        <v>155.1</v>
      </c>
      <c r="L147">
        <v>117.3</v>
      </c>
      <c r="M147">
        <v>144.9</v>
      </c>
      <c r="N147">
        <v>123.2</v>
      </c>
      <c r="O147">
        <v>141.6</v>
      </c>
      <c r="P147" s="1">
        <f t="shared" si="10"/>
        <v>1590</v>
      </c>
      <c r="Q147">
        <v>132</v>
      </c>
      <c r="R147">
        <v>145.6</v>
      </c>
      <c r="S147" s="1">
        <f t="shared" si="11"/>
        <v>511.70000000000005</v>
      </c>
      <c r="T147">
        <v>130.19999999999999</v>
      </c>
      <c r="U147">
        <v>122.3</v>
      </c>
      <c r="V147" s="1">
        <f t="shared" si="12"/>
        <v>381.5</v>
      </c>
      <c r="W147">
        <v>129</v>
      </c>
      <c r="X147">
        <v>129.6</v>
      </c>
      <c r="Y147" s="1">
        <f t="shared" si="13"/>
        <v>254.7</v>
      </c>
      <c r="Z147">
        <v>118</v>
      </c>
      <c r="AA147">
        <v>125.1</v>
      </c>
      <c r="AB147">
        <v>122.6</v>
      </c>
      <c r="AC147">
        <v>115.2</v>
      </c>
      <c r="AD147">
        <v>122</v>
      </c>
      <c r="AE147">
        <v>132.4</v>
      </c>
      <c r="AF147">
        <v>120.9</v>
      </c>
      <c r="AG147">
        <v>122.1</v>
      </c>
      <c r="AH147">
        <v>127.8</v>
      </c>
      <c r="AI147">
        <f>SUM('Cleaned Data'!AC147,'Cleaned Data'!AE147,'Cleaned Data'!Z147,'Cleaned Data'!AA147)</f>
        <v>490.70000000000005</v>
      </c>
      <c r="AJ147" s="1">
        <f t="shared" si="14"/>
        <v>122.67500000000001</v>
      </c>
    </row>
    <row r="148" spans="1:36">
      <c r="A148" t="s">
        <v>6</v>
      </c>
      <c r="B148">
        <v>2017</v>
      </c>
      <c r="C148" t="s">
        <v>11</v>
      </c>
      <c r="D148">
        <v>132.80000000000001</v>
      </c>
      <c r="E148">
        <v>138.19999999999999</v>
      </c>
      <c r="F148">
        <v>132.19999999999999</v>
      </c>
      <c r="G148">
        <v>135.4</v>
      </c>
      <c r="H148">
        <v>119.1</v>
      </c>
      <c r="I148">
        <v>133</v>
      </c>
      <c r="J148">
        <v>119.4</v>
      </c>
      <c r="K148">
        <v>159.5</v>
      </c>
      <c r="L148">
        <v>115.6</v>
      </c>
      <c r="M148">
        <v>139.6</v>
      </c>
      <c r="N148">
        <v>126.6</v>
      </c>
      <c r="O148">
        <v>142.80000000000001</v>
      </c>
      <c r="P148" s="1">
        <f t="shared" si="10"/>
        <v>1600.7</v>
      </c>
      <c r="Q148">
        <v>133.1</v>
      </c>
      <c r="R148">
        <v>143.80000000000001</v>
      </c>
      <c r="S148" s="1">
        <f t="shared" si="11"/>
        <v>516.29999999999995</v>
      </c>
      <c r="T148">
        <v>136.6</v>
      </c>
      <c r="U148">
        <v>130.19999999999999</v>
      </c>
      <c r="V148" s="1">
        <f t="shared" si="12"/>
        <v>402.4</v>
      </c>
      <c r="W148">
        <v>135.6</v>
      </c>
      <c r="X148">
        <v>129.6</v>
      </c>
      <c r="Y148" s="1">
        <f t="shared" si="13"/>
        <v>259</v>
      </c>
      <c r="Z148">
        <v>126.8</v>
      </c>
      <c r="AA148">
        <v>129.4</v>
      </c>
      <c r="AB148">
        <v>127.1</v>
      </c>
      <c r="AC148">
        <v>117</v>
      </c>
      <c r="AD148">
        <v>124.2</v>
      </c>
      <c r="AE148">
        <v>133.30000000000001</v>
      </c>
      <c r="AF148">
        <v>121.7</v>
      </c>
      <c r="AG148">
        <v>124.4</v>
      </c>
      <c r="AH148">
        <v>130.30000000000001</v>
      </c>
      <c r="AI148">
        <f>SUM('Cleaned Data'!AC148,'Cleaned Data'!AE148,'Cleaned Data'!Z148,'Cleaned Data'!AA148)</f>
        <v>506.5</v>
      </c>
      <c r="AJ148" s="1">
        <f t="shared" si="14"/>
        <v>126.62500000000001</v>
      </c>
    </row>
    <row r="149" spans="1:36">
      <c r="A149" t="s">
        <v>93</v>
      </c>
      <c r="B149">
        <v>2017</v>
      </c>
      <c r="C149" t="s">
        <v>14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s="1">
        <f t="shared" si="10"/>
        <v>1605.0999999999997</v>
      </c>
      <c r="Q149">
        <v>133.6</v>
      </c>
      <c r="R149">
        <v>143.69999999999999</v>
      </c>
      <c r="S149" s="1">
        <f t="shared" si="11"/>
        <v>524</v>
      </c>
      <c r="T149">
        <v>140.9</v>
      </c>
      <c r="U149">
        <v>135.80000000000001</v>
      </c>
      <c r="V149" s="1">
        <f t="shared" si="12"/>
        <v>416.90000000000003</v>
      </c>
      <c r="W149">
        <v>140.19999999999999</v>
      </c>
      <c r="X149">
        <v>130.5</v>
      </c>
      <c r="Y149" s="1">
        <f t="shared" si="13"/>
        <v>264.10000000000002</v>
      </c>
      <c r="Z149">
        <v>133.19999999999999</v>
      </c>
      <c r="AA149">
        <v>133.6</v>
      </c>
      <c r="AB149">
        <v>130.1</v>
      </c>
      <c r="AC149">
        <v>119.5</v>
      </c>
      <c r="AD149">
        <v>127.7</v>
      </c>
      <c r="AE149">
        <v>134.9</v>
      </c>
      <c r="AF149">
        <v>123.2</v>
      </c>
      <c r="AG149">
        <v>127</v>
      </c>
      <c r="AH149">
        <v>132.6</v>
      </c>
      <c r="AI149">
        <f>SUM('Cleaned Data'!AC149,'Cleaned Data'!AE149,'Cleaned Data'!Z149,'Cleaned Data'!AA149)</f>
        <v>521.20000000000005</v>
      </c>
      <c r="AJ149" s="1">
        <f t="shared" si="14"/>
        <v>130.30000000000001</v>
      </c>
    </row>
    <row r="150" spans="1:36">
      <c r="A150" t="s">
        <v>94</v>
      </c>
      <c r="B150">
        <v>2017</v>
      </c>
      <c r="C150" t="s">
        <v>14</v>
      </c>
      <c r="D150">
        <v>132.80000000000001</v>
      </c>
      <c r="E150">
        <v>139.80000000000001</v>
      </c>
      <c r="F150">
        <v>129.30000000000001</v>
      </c>
      <c r="G150">
        <v>133.5</v>
      </c>
      <c r="H150">
        <v>114.3</v>
      </c>
      <c r="I150">
        <v>131.4</v>
      </c>
      <c r="J150">
        <v>120.2</v>
      </c>
      <c r="K150">
        <v>143.1</v>
      </c>
      <c r="L150">
        <v>119.5</v>
      </c>
      <c r="M150">
        <v>144</v>
      </c>
      <c r="N150">
        <v>123.4</v>
      </c>
      <c r="O150">
        <v>141.9</v>
      </c>
      <c r="P150" s="1">
        <f t="shared" si="10"/>
        <v>1581.8999999999999</v>
      </c>
      <c r="Q150">
        <v>132.1</v>
      </c>
      <c r="R150">
        <v>146.30000000000001</v>
      </c>
      <c r="S150" s="1">
        <f t="shared" si="11"/>
        <v>513.6</v>
      </c>
      <c r="T150">
        <v>130.5</v>
      </c>
      <c r="U150">
        <v>122.5</v>
      </c>
      <c r="V150" s="1">
        <f t="shared" si="12"/>
        <v>382.3</v>
      </c>
      <c r="W150">
        <v>129.30000000000001</v>
      </c>
      <c r="X150">
        <v>130.5</v>
      </c>
      <c r="Y150" s="1">
        <f t="shared" si="13"/>
        <v>255.8</v>
      </c>
      <c r="Z150">
        <v>119.2</v>
      </c>
      <c r="AA150">
        <v>125.3</v>
      </c>
      <c r="AB150">
        <v>122.9</v>
      </c>
      <c r="AC150">
        <v>115.5</v>
      </c>
      <c r="AD150">
        <v>122.2</v>
      </c>
      <c r="AE150">
        <v>132.4</v>
      </c>
      <c r="AF150">
        <v>121.7</v>
      </c>
      <c r="AG150">
        <v>122.4</v>
      </c>
      <c r="AH150">
        <v>128.19999999999999</v>
      </c>
      <c r="AI150">
        <f>SUM('Cleaned Data'!AC150,'Cleaned Data'!AE150,'Cleaned Data'!Z150,'Cleaned Data'!AA150)</f>
        <v>492.40000000000003</v>
      </c>
      <c r="AJ150" s="1">
        <f t="shared" si="14"/>
        <v>123.1</v>
      </c>
    </row>
    <row r="151" spans="1:36">
      <c r="A151" t="s">
        <v>6</v>
      </c>
      <c r="B151">
        <v>2017</v>
      </c>
      <c r="C151" t="s">
        <v>14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s="1">
        <f t="shared" si="10"/>
        <v>1595.3999999999999</v>
      </c>
      <c r="Q151">
        <v>133</v>
      </c>
      <c r="R151">
        <v>144.4</v>
      </c>
      <c r="S151" s="1">
        <f t="shared" si="11"/>
        <v>518.5</v>
      </c>
      <c r="T151">
        <v>136.80000000000001</v>
      </c>
      <c r="U151">
        <v>130.30000000000001</v>
      </c>
      <c r="V151" s="1">
        <f t="shared" si="12"/>
        <v>403</v>
      </c>
      <c r="W151">
        <v>135.9</v>
      </c>
      <c r="X151">
        <v>130.5</v>
      </c>
      <c r="Y151" s="1">
        <f t="shared" si="13"/>
        <v>260.2</v>
      </c>
      <c r="Z151">
        <v>127.9</v>
      </c>
      <c r="AA151">
        <v>129.69999999999999</v>
      </c>
      <c r="AB151">
        <v>127.4</v>
      </c>
      <c r="AC151">
        <v>117.4</v>
      </c>
      <c r="AD151">
        <v>124.6</v>
      </c>
      <c r="AE151">
        <v>133.4</v>
      </c>
      <c r="AF151">
        <v>122.6</v>
      </c>
      <c r="AG151">
        <v>124.8</v>
      </c>
      <c r="AH151">
        <v>130.6</v>
      </c>
      <c r="AI151">
        <f>SUM('Cleaned Data'!AC151,'Cleaned Data'!AE151,'Cleaned Data'!Z151,'Cleaned Data'!AA151)</f>
        <v>508.40000000000003</v>
      </c>
      <c r="AJ151" s="1">
        <f t="shared" si="14"/>
        <v>127.1</v>
      </c>
    </row>
    <row r="152" spans="1:36">
      <c r="A152" t="s">
        <v>93</v>
      </c>
      <c r="B152">
        <v>2017</v>
      </c>
      <c r="C152" t="s">
        <v>17</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s="1">
        <f t="shared" si="10"/>
        <v>1598.6999999999998</v>
      </c>
      <c r="Q152">
        <v>133.4</v>
      </c>
      <c r="R152">
        <v>144.19999999999999</v>
      </c>
      <c r="S152" s="1">
        <f t="shared" si="11"/>
        <v>525.6</v>
      </c>
      <c r="T152">
        <v>141.6</v>
      </c>
      <c r="U152">
        <v>136.19999999999999</v>
      </c>
      <c r="V152" s="1">
        <f t="shared" si="12"/>
        <v>418.59999999999997</v>
      </c>
      <c r="W152">
        <v>140.80000000000001</v>
      </c>
      <c r="X152">
        <v>131.1</v>
      </c>
      <c r="Y152" s="1">
        <f t="shared" si="13"/>
        <v>265.2</v>
      </c>
      <c r="Z152">
        <v>134.19999999999999</v>
      </c>
      <c r="AA152">
        <v>134.1</v>
      </c>
      <c r="AB152">
        <v>130.6</v>
      </c>
      <c r="AC152">
        <v>119.8</v>
      </c>
      <c r="AD152">
        <v>128.30000000000001</v>
      </c>
      <c r="AE152">
        <v>135.19999999999999</v>
      </c>
      <c r="AF152">
        <v>123.3</v>
      </c>
      <c r="AG152">
        <v>127.4</v>
      </c>
      <c r="AH152">
        <v>132.80000000000001</v>
      </c>
      <c r="AI152">
        <f>SUM('Cleaned Data'!AC152,'Cleaned Data'!AE152,'Cleaned Data'!Z152,'Cleaned Data'!AA152)</f>
        <v>523.29999999999995</v>
      </c>
      <c r="AJ152" s="1">
        <f t="shared" si="14"/>
        <v>130.82499999999999</v>
      </c>
    </row>
    <row r="153" spans="1:36">
      <c r="A153" t="s">
        <v>94</v>
      </c>
      <c r="B153">
        <v>2017</v>
      </c>
      <c r="C153" t="s">
        <v>17</v>
      </c>
      <c r="D153">
        <v>132.69999999999999</v>
      </c>
      <c r="E153">
        <v>139.4</v>
      </c>
      <c r="F153">
        <v>128.4</v>
      </c>
      <c r="G153">
        <v>134.9</v>
      </c>
      <c r="H153">
        <v>114</v>
      </c>
      <c r="I153">
        <v>136.80000000000001</v>
      </c>
      <c r="J153">
        <v>122.2</v>
      </c>
      <c r="K153">
        <v>135.80000000000001</v>
      </c>
      <c r="L153">
        <v>120.3</v>
      </c>
      <c r="M153">
        <v>142.6</v>
      </c>
      <c r="N153">
        <v>123.6</v>
      </c>
      <c r="O153">
        <v>142.4</v>
      </c>
      <c r="P153" s="1">
        <f t="shared" si="10"/>
        <v>1582.1000000000004</v>
      </c>
      <c r="Q153">
        <v>132.6</v>
      </c>
      <c r="R153">
        <v>147.5</v>
      </c>
      <c r="S153" s="1">
        <f t="shared" si="11"/>
        <v>515.20000000000005</v>
      </c>
      <c r="T153">
        <v>130.80000000000001</v>
      </c>
      <c r="U153">
        <v>122.8</v>
      </c>
      <c r="V153" s="1">
        <f t="shared" si="12"/>
        <v>383.20000000000005</v>
      </c>
      <c r="W153">
        <v>129.6</v>
      </c>
      <c r="X153">
        <v>131.1</v>
      </c>
      <c r="Y153" s="1">
        <f t="shared" si="13"/>
        <v>256.7</v>
      </c>
      <c r="Z153">
        <v>120.8</v>
      </c>
      <c r="AA153">
        <v>125.6</v>
      </c>
      <c r="AB153">
        <v>123.1</v>
      </c>
      <c r="AC153">
        <v>115.6</v>
      </c>
      <c r="AD153">
        <v>122.4</v>
      </c>
      <c r="AE153">
        <v>132.80000000000001</v>
      </c>
      <c r="AF153">
        <v>121.7</v>
      </c>
      <c r="AG153">
        <v>122.6</v>
      </c>
      <c r="AH153">
        <v>128.69999999999999</v>
      </c>
      <c r="AI153">
        <f>SUM('Cleaned Data'!AC153,'Cleaned Data'!AE153,'Cleaned Data'!Z153,'Cleaned Data'!AA153)</f>
        <v>494.79999999999995</v>
      </c>
      <c r="AJ153" s="1">
        <f t="shared" si="14"/>
        <v>123.7</v>
      </c>
    </row>
    <row r="154" spans="1:36">
      <c r="A154" t="s">
        <v>6</v>
      </c>
      <c r="B154">
        <v>2017</v>
      </c>
      <c r="C154" t="s">
        <v>17</v>
      </c>
      <c r="D154">
        <v>133.30000000000001</v>
      </c>
      <c r="E154">
        <v>139</v>
      </c>
      <c r="F154">
        <v>128.6</v>
      </c>
      <c r="G154">
        <v>136.30000000000001</v>
      </c>
      <c r="H154">
        <v>118.8</v>
      </c>
      <c r="I154">
        <v>138.30000000000001</v>
      </c>
      <c r="J154">
        <v>120.5</v>
      </c>
      <c r="K154">
        <v>143.9</v>
      </c>
      <c r="L154">
        <v>118</v>
      </c>
      <c r="M154">
        <v>137.9</v>
      </c>
      <c r="N154">
        <v>127.2</v>
      </c>
      <c r="O154">
        <v>144</v>
      </c>
      <c r="P154" s="1">
        <f t="shared" si="10"/>
        <v>1591.6999999999996</v>
      </c>
      <c r="Q154">
        <v>133.1</v>
      </c>
      <c r="R154">
        <v>145.1</v>
      </c>
      <c r="S154" s="1">
        <f t="shared" si="11"/>
        <v>519.9</v>
      </c>
      <c r="T154">
        <v>137.30000000000001</v>
      </c>
      <c r="U154">
        <v>130.6</v>
      </c>
      <c r="V154" s="1">
        <f t="shared" si="12"/>
        <v>404.29999999999995</v>
      </c>
      <c r="W154">
        <v>136.4</v>
      </c>
      <c r="X154">
        <v>131.1</v>
      </c>
      <c r="Y154" s="1">
        <f t="shared" si="13"/>
        <v>261.2</v>
      </c>
      <c r="Z154">
        <v>129.1</v>
      </c>
      <c r="AA154">
        <v>130.1</v>
      </c>
      <c r="AB154">
        <v>127.8</v>
      </c>
      <c r="AC154">
        <v>117.6</v>
      </c>
      <c r="AD154">
        <v>125</v>
      </c>
      <c r="AE154">
        <v>133.80000000000001</v>
      </c>
      <c r="AF154">
        <v>122.6</v>
      </c>
      <c r="AG154">
        <v>125.1</v>
      </c>
      <c r="AH154">
        <v>130.9</v>
      </c>
      <c r="AI154">
        <f>SUM('Cleaned Data'!AC154,'Cleaned Data'!AE154,'Cleaned Data'!Z154,'Cleaned Data'!AA154)</f>
        <v>510.6</v>
      </c>
      <c r="AJ154" s="1">
        <f t="shared" si="14"/>
        <v>127.65</v>
      </c>
    </row>
    <row r="155" spans="1:36">
      <c r="A155" t="s">
        <v>93</v>
      </c>
      <c r="B155">
        <v>2017</v>
      </c>
      <c r="C155" t="s">
        <v>19</v>
      </c>
      <c r="D155">
        <v>133.19999999999999</v>
      </c>
      <c r="E155">
        <v>138.69999999999999</v>
      </c>
      <c r="F155">
        <v>127.1</v>
      </c>
      <c r="G155">
        <v>137.69999999999999</v>
      </c>
      <c r="H155">
        <v>121.3</v>
      </c>
      <c r="I155">
        <v>141.80000000000001</v>
      </c>
      <c r="J155">
        <v>121.5</v>
      </c>
      <c r="K155">
        <v>144.5</v>
      </c>
      <c r="L155">
        <v>117.4</v>
      </c>
      <c r="M155">
        <v>134.1</v>
      </c>
      <c r="N155">
        <v>130</v>
      </c>
      <c r="O155">
        <v>145.5</v>
      </c>
      <c r="P155" s="1">
        <f t="shared" si="10"/>
        <v>1596.3</v>
      </c>
      <c r="Q155">
        <v>133.5</v>
      </c>
      <c r="R155">
        <v>144.4</v>
      </c>
      <c r="S155" s="1">
        <f t="shared" si="11"/>
        <v>526.4</v>
      </c>
      <c r="T155">
        <v>142.4</v>
      </c>
      <c r="U155">
        <v>136.80000000000001</v>
      </c>
      <c r="V155" s="1">
        <f t="shared" si="12"/>
        <v>420.80000000000007</v>
      </c>
      <c r="W155">
        <v>141.6</v>
      </c>
      <c r="X155">
        <v>131.69999999999999</v>
      </c>
      <c r="Y155" s="1">
        <f t="shared" si="13"/>
        <v>266</v>
      </c>
      <c r="Z155">
        <v>135</v>
      </c>
      <c r="AA155">
        <v>134.30000000000001</v>
      </c>
      <c r="AB155">
        <v>131</v>
      </c>
      <c r="AC155">
        <v>119.2</v>
      </c>
      <c r="AD155">
        <v>128.30000000000001</v>
      </c>
      <c r="AE155">
        <v>135.69999999999999</v>
      </c>
      <c r="AF155">
        <v>123.7</v>
      </c>
      <c r="AG155">
        <v>127.5</v>
      </c>
      <c r="AH155">
        <v>132.9</v>
      </c>
      <c r="AI155">
        <f>SUM('Cleaned Data'!AC155,'Cleaned Data'!AE155,'Cleaned Data'!Z155,'Cleaned Data'!AA155)</f>
        <v>524.20000000000005</v>
      </c>
      <c r="AJ155" s="1">
        <f t="shared" si="14"/>
        <v>131.05000000000001</v>
      </c>
    </row>
    <row r="156" spans="1:36">
      <c r="A156" t="s">
        <v>94</v>
      </c>
      <c r="B156">
        <v>2017</v>
      </c>
      <c r="C156" t="s">
        <v>19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s="1">
        <f t="shared" si="10"/>
        <v>1584.3</v>
      </c>
      <c r="Q156">
        <v>133.4</v>
      </c>
      <c r="R156">
        <v>148</v>
      </c>
      <c r="S156" s="1">
        <f t="shared" si="11"/>
        <v>516.6</v>
      </c>
      <c r="T156">
        <v>131.19999999999999</v>
      </c>
      <c r="U156">
        <v>123</v>
      </c>
      <c r="V156" s="1">
        <f t="shared" si="12"/>
        <v>384.2</v>
      </c>
      <c r="W156">
        <v>130</v>
      </c>
      <c r="X156">
        <v>131.69999999999999</v>
      </c>
      <c r="Y156" s="1">
        <f t="shared" si="13"/>
        <v>257.7</v>
      </c>
      <c r="Z156">
        <v>121.4</v>
      </c>
      <c r="AA156">
        <v>126</v>
      </c>
      <c r="AB156">
        <v>123.4</v>
      </c>
      <c r="AC156">
        <v>114.3</v>
      </c>
      <c r="AD156">
        <v>122.6</v>
      </c>
      <c r="AE156">
        <v>133.6</v>
      </c>
      <c r="AF156">
        <v>122.2</v>
      </c>
      <c r="AG156">
        <v>122.5</v>
      </c>
      <c r="AH156">
        <v>129.1</v>
      </c>
      <c r="AI156">
        <f>SUM('Cleaned Data'!AC156,'Cleaned Data'!AE156,'Cleaned Data'!Z156,'Cleaned Data'!AA156)</f>
        <v>495.29999999999995</v>
      </c>
      <c r="AJ156" s="1">
        <f t="shared" si="14"/>
        <v>123.82499999999999</v>
      </c>
    </row>
    <row r="157" spans="1:36">
      <c r="A157" t="s">
        <v>6</v>
      </c>
      <c r="B157">
        <v>2017</v>
      </c>
      <c r="C157" t="s">
        <v>19</v>
      </c>
      <c r="D157">
        <v>133</v>
      </c>
      <c r="E157">
        <v>139.4</v>
      </c>
      <c r="F157">
        <v>126.1</v>
      </c>
      <c r="G157">
        <v>137.19999999999999</v>
      </c>
      <c r="H157">
        <v>118.4</v>
      </c>
      <c r="I157">
        <v>139.9</v>
      </c>
      <c r="J157">
        <v>123.4</v>
      </c>
      <c r="K157">
        <v>140.9</v>
      </c>
      <c r="L157">
        <v>118.5</v>
      </c>
      <c r="M157">
        <v>136.5</v>
      </c>
      <c r="N157">
        <v>127.4</v>
      </c>
      <c r="O157">
        <v>144.19999999999999</v>
      </c>
      <c r="P157" s="1">
        <f t="shared" si="10"/>
        <v>1591</v>
      </c>
      <c r="Q157">
        <v>133.5</v>
      </c>
      <c r="R157">
        <v>145.4</v>
      </c>
      <c r="S157" s="1">
        <f t="shared" si="11"/>
        <v>521</v>
      </c>
      <c r="T157">
        <v>138</v>
      </c>
      <c r="U157">
        <v>131.1</v>
      </c>
      <c r="V157" s="1">
        <f t="shared" si="12"/>
        <v>406.1</v>
      </c>
      <c r="W157">
        <v>137</v>
      </c>
      <c r="X157">
        <v>131.69999999999999</v>
      </c>
      <c r="Y157" s="1">
        <f t="shared" si="13"/>
        <v>262.10000000000002</v>
      </c>
      <c r="Z157">
        <v>129.80000000000001</v>
      </c>
      <c r="AA157">
        <v>130.4</v>
      </c>
      <c r="AB157">
        <v>128.1</v>
      </c>
      <c r="AC157">
        <v>116.6</v>
      </c>
      <c r="AD157">
        <v>125.1</v>
      </c>
      <c r="AE157">
        <v>134.5</v>
      </c>
      <c r="AF157">
        <v>123.1</v>
      </c>
      <c r="AG157">
        <v>125.1</v>
      </c>
      <c r="AH157">
        <v>131.1</v>
      </c>
      <c r="AI157">
        <f>SUM('Cleaned Data'!AC157,'Cleaned Data'!AE157,'Cleaned Data'!Z157,'Cleaned Data'!AA157)</f>
        <v>511.29999999999995</v>
      </c>
      <c r="AJ157" s="1">
        <f t="shared" si="14"/>
        <v>127.825</v>
      </c>
    </row>
    <row r="158" spans="1:36">
      <c r="A158" t="s">
        <v>93</v>
      </c>
      <c r="B158">
        <v>2017</v>
      </c>
      <c r="C158" t="s">
        <v>21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s="1">
        <f t="shared" si="10"/>
        <v>1597.1999999999998</v>
      </c>
      <c r="Q158">
        <v>133.80000000000001</v>
      </c>
      <c r="R158">
        <v>145.5</v>
      </c>
      <c r="S158" s="1">
        <f t="shared" si="11"/>
        <v>528.90000000000009</v>
      </c>
      <c r="T158">
        <v>142.5</v>
      </c>
      <c r="U158">
        <v>137.30000000000001</v>
      </c>
      <c r="V158" s="1">
        <f t="shared" si="12"/>
        <v>421.6</v>
      </c>
      <c r="W158">
        <v>141.80000000000001</v>
      </c>
      <c r="X158">
        <v>132.1</v>
      </c>
      <c r="Y158" s="1">
        <f t="shared" si="13"/>
        <v>267</v>
      </c>
      <c r="Z158">
        <v>135</v>
      </c>
      <c r="AA158">
        <v>134.9</v>
      </c>
      <c r="AB158">
        <v>131.4</v>
      </c>
      <c r="AC158">
        <v>119.4</v>
      </c>
      <c r="AD158">
        <v>129.4</v>
      </c>
      <c r="AE158">
        <v>136.30000000000001</v>
      </c>
      <c r="AF158">
        <v>123.7</v>
      </c>
      <c r="AG158">
        <v>127.9</v>
      </c>
      <c r="AH158">
        <v>133.30000000000001</v>
      </c>
      <c r="AI158">
        <f>SUM('Cleaned Data'!AC158,'Cleaned Data'!AE158,'Cleaned Data'!Z158,'Cleaned Data'!AA158)</f>
        <v>525.6</v>
      </c>
      <c r="AJ158" s="1">
        <f t="shared" si="14"/>
        <v>131.4</v>
      </c>
    </row>
    <row r="159" spans="1:36">
      <c r="A159" t="s">
        <v>94</v>
      </c>
      <c r="B159">
        <v>2017</v>
      </c>
      <c r="C159" t="s">
        <v>21</v>
      </c>
      <c r="D159">
        <v>132.6</v>
      </c>
      <c r="E159">
        <v>144.1</v>
      </c>
      <c r="F159">
        <v>125.6</v>
      </c>
      <c r="G159">
        <v>136.80000000000001</v>
      </c>
      <c r="H159">
        <v>113.4</v>
      </c>
      <c r="I159">
        <v>135.19999999999999</v>
      </c>
      <c r="J159">
        <v>129.19999999999999</v>
      </c>
      <c r="K159">
        <v>131.5</v>
      </c>
      <c r="L159">
        <v>121</v>
      </c>
      <c r="M159">
        <v>139.9</v>
      </c>
      <c r="N159">
        <v>123.8</v>
      </c>
      <c r="O159">
        <v>142.9</v>
      </c>
      <c r="P159" s="1">
        <f t="shared" si="10"/>
        <v>1585.7999999999997</v>
      </c>
      <c r="Q159">
        <v>133.6</v>
      </c>
      <c r="R159">
        <v>148.30000000000001</v>
      </c>
      <c r="S159" s="1">
        <f t="shared" si="11"/>
        <v>516.90000000000009</v>
      </c>
      <c r="T159">
        <v>131.5</v>
      </c>
      <c r="U159">
        <v>123.2</v>
      </c>
      <c r="V159" s="1">
        <f t="shared" si="12"/>
        <v>384.9</v>
      </c>
      <c r="W159">
        <v>130.19999999999999</v>
      </c>
      <c r="X159">
        <v>132.1</v>
      </c>
      <c r="Y159" s="1">
        <f t="shared" si="13"/>
        <v>258.60000000000002</v>
      </c>
      <c r="Z159">
        <v>120.1</v>
      </c>
      <c r="AA159">
        <v>126.5</v>
      </c>
      <c r="AB159">
        <v>123.6</v>
      </c>
      <c r="AC159">
        <v>114.3</v>
      </c>
      <c r="AD159">
        <v>122.8</v>
      </c>
      <c r="AE159">
        <v>133.80000000000001</v>
      </c>
      <c r="AF159">
        <v>122</v>
      </c>
      <c r="AG159">
        <v>122.6</v>
      </c>
      <c r="AH159">
        <v>129.30000000000001</v>
      </c>
      <c r="AI159">
        <f>SUM('Cleaned Data'!AC159,'Cleaned Data'!AE159,'Cleaned Data'!Z159,'Cleaned Data'!AA159)</f>
        <v>494.70000000000005</v>
      </c>
      <c r="AJ159" s="1">
        <f t="shared" si="14"/>
        <v>123.67500000000001</v>
      </c>
    </row>
    <row r="160" spans="1:36">
      <c r="A160" t="s">
        <v>6</v>
      </c>
      <c r="B160">
        <v>2017</v>
      </c>
      <c r="C160" t="s">
        <v>21</v>
      </c>
      <c r="D160">
        <v>132.9</v>
      </c>
      <c r="E160">
        <v>141.6</v>
      </c>
      <c r="F160">
        <v>126.3</v>
      </c>
      <c r="G160">
        <v>137.69999999999999</v>
      </c>
      <c r="H160">
        <v>118.1</v>
      </c>
      <c r="I160">
        <v>137.9</v>
      </c>
      <c r="J160">
        <v>125.6</v>
      </c>
      <c r="K160">
        <v>138.30000000000001</v>
      </c>
      <c r="L160">
        <v>119.4</v>
      </c>
      <c r="M160">
        <v>136</v>
      </c>
      <c r="N160">
        <v>127.6</v>
      </c>
      <c r="O160">
        <v>144.5</v>
      </c>
      <c r="P160" s="1">
        <f t="shared" si="10"/>
        <v>1592</v>
      </c>
      <c r="Q160">
        <v>133.69999999999999</v>
      </c>
      <c r="R160">
        <v>146.19999999999999</v>
      </c>
      <c r="S160" s="1">
        <f t="shared" si="11"/>
        <v>522.5</v>
      </c>
      <c r="T160">
        <v>138.19999999999999</v>
      </c>
      <c r="U160">
        <v>131.4</v>
      </c>
      <c r="V160" s="1">
        <f t="shared" si="12"/>
        <v>406.8</v>
      </c>
      <c r="W160">
        <v>137.19999999999999</v>
      </c>
      <c r="X160">
        <v>132.1</v>
      </c>
      <c r="Y160" s="1">
        <f t="shared" si="13"/>
        <v>263</v>
      </c>
      <c r="Z160">
        <v>129.4</v>
      </c>
      <c r="AA160">
        <v>130.9</v>
      </c>
      <c r="AB160">
        <v>128.4</v>
      </c>
      <c r="AC160">
        <v>116.7</v>
      </c>
      <c r="AD160">
        <v>125.7</v>
      </c>
      <c r="AE160">
        <v>134.80000000000001</v>
      </c>
      <c r="AF160">
        <v>123</v>
      </c>
      <c r="AG160">
        <v>125.3</v>
      </c>
      <c r="AH160">
        <v>131.4</v>
      </c>
      <c r="AI160">
        <f>SUM('Cleaned Data'!AC160,'Cleaned Data'!AE160,'Cleaned Data'!Z160,'Cleaned Data'!AA160)</f>
        <v>511.79999999999995</v>
      </c>
      <c r="AJ160" s="1">
        <f t="shared" si="14"/>
        <v>127.94999999999999</v>
      </c>
    </row>
    <row r="161" spans="1:36">
      <c r="A161" t="s">
        <v>93</v>
      </c>
      <c r="B161">
        <v>2017</v>
      </c>
      <c r="C161" t="s">
        <v>23</v>
      </c>
      <c r="D161">
        <v>133.5</v>
      </c>
      <c r="E161">
        <v>143.69999999999999</v>
      </c>
      <c r="F161">
        <v>128</v>
      </c>
      <c r="G161">
        <v>138.6</v>
      </c>
      <c r="H161">
        <v>120.9</v>
      </c>
      <c r="I161">
        <v>140.9</v>
      </c>
      <c r="J161">
        <v>128.80000000000001</v>
      </c>
      <c r="K161">
        <v>140.19999999999999</v>
      </c>
      <c r="L161">
        <v>118.9</v>
      </c>
      <c r="M161">
        <v>133.5</v>
      </c>
      <c r="N161">
        <v>130.4</v>
      </c>
      <c r="O161">
        <v>146.5</v>
      </c>
      <c r="P161" s="1">
        <f t="shared" si="10"/>
        <v>1608.3999999999999</v>
      </c>
      <c r="Q161">
        <v>134.9</v>
      </c>
      <c r="R161">
        <v>145.80000000000001</v>
      </c>
      <c r="S161" s="1">
        <f t="shared" si="11"/>
        <v>530.1</v>
      </c>
      <c r="T161">
        <v>143.1</v>
      </c>
      <c r="U161">
        <v>137.69999999999999</v>
      </c>
      <c r="V161" s="1">
        <f t="shared" si="12"/>
        <v>423.09999999999997</v>
      </c>
      <c r="W161">
        <v>142.30000000000001</v>
      </c>
      <c r="X161">
        <v>131.4</v>
      </c>
      <c r="Y161" s="1">
        <f t="shared" si="13"/>
        <v>266.60000000000002</v>
      </c>
      <c r="Z161">
        <v>134.80000000000001</v>
      </c>
      <c r="AA161">
        <v>135.19999999999999</v>
      </c>
      <c r="AB161">
        <v>131.30000000000001</v>
      </c>
      <c r="AC161">
        <v>119.4</v>
      </c>
      <c r="AD161">
        <v>129.80000000000001</v>
      </c>
      <c r="AE161">
        <v>136.9</v>
      </c>
      <c r="AF161">
        <v>124.1</v>
      </c>
      <c r="AG161">
        <v>128.1</v>
      </c>
      <c r="AH161">
        <v>133.9</v>
      </c>
      <c r="AI161">
        <f>SUM('Cleaned Data'!AC161,'Cleaned Data'!AE161,'Cleaned Data'!Z161,'Cleaned Data'!AA161)</f>
        <v>526.29999999999995</v>
      </c>
      <c r="AJ161" s="1">
        <f t="shared" si="14"/>
        <v>131.57499999999999</v>
      </c>
    </row>
    <row r="162" spans="1:36">
      <c r="A162" t="s">
        <v>94</v>
      </c>
      <c r="B162">
        <v>2017</v>
      </c>
      <c r="C162" t="s">
        <v>23</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s="1">
        <f t="shared" si="10"/>
        <v>1606.8000000000002</v>
      </c>
      <c r="Q162">
        <v>135.69999999999999</v>
      </c>
      <c r="R162">
        <v>148.6</v>
      </c>
      <c r="S162" s="1">
        <f t="shared" si="11"/>
        <v>518.20000000000005</v>
      </c>
      <c r="T162">
        <v>131.5</v>
      </c>
      <c r="U162">
        <v>123.2</v>
      </c>
      <c r="V162" s="1">
        <f t="shared" si="12"/>
        <v>384.9</v>
      </c>
      <c r="W162">
        <v>130.19999999999999</v>
      </c>
      <c r="X162">
        <v>131.4</v>
      </c>
      <c r="Y162" s="1">
        <f t="shared" si="13"/>
        <v>258.2</v>
      </c>
      <c r="Z162">
        <v>119</v>
      </c>
      <c r="AA162">
        <v>126.8</v>
      </c>
      <c r="AB162">
        <v>123.8</v>
      </c>
      <c r="AC162">
        <v>113.9</v>
      </c>
      <c r="AD162">
        <v>122.9</v>
      </c>
      <c r="AE162">
        <v>134.30000000000001</v>
      </c>
      <c r="AF162">
        <v>122.5</v>
      </c>
      <c r="AG162">
        <v>122.7</v>
      </c>
      <c r="AH162">
        <v>129.9</v>
      </c>
      <c r="AI162">
        <f>SUM('Cleaned Data'!AC162,'Cleaned Data'!AE162,'Cleaned Data'!Z162,'Cleaned Data'!AA162)</f>
        <v>494.00000000000006</v>
      </c>
      <c r="AJ162" s="1">
        <f t="shared" si="14"/>
        <v>123.5</v>
      </c>
    </row>
    <row r="163" spans="1:36">
      <c r="A163" t="s">
        <v>6</v>
      </c>
      <c r="B163">
        <v>2017</v>
      </c>
      <c r="C163" t="s">
        <v>23</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s="1">
        <f t="shared" si="10"/>
        <v>1606.8999999999999</v>
      </c>
      <c r="Q163">
        <v>135.19999999999999</v>
      </c>
      <c r="R163">
        <v>146.5</v>
      </c>
      <c r="S163" s="1">
        <f t="shared" si="11"/>
        <v>523.6</v>
      </c>
      <c r="T163">
        <v>138.5</v>
      </c>
      <c r="U163">
        <v>131.69999999999999</v>
      </c>
      <c r="V163" s="1">
        <f t="shared" si="12"/>
        <v>407.7</v>
      </c>
      <c r="W163">
        <v>137.5</v>
      </c>
      <c r="X163">
        <v>131.4</v>
      </c>
      <c r="Y163" s="1">
        <f t="shared" si="13"/>
        <v>262.60000000000002</v>
      </c>
      <c r="Z163">
        <v>128.80000000000001</v>
      </c>
      <c r="AA163">
        <v>131.19999999999999</v>
      </c>
      <c r="AB163">
        <v>128.5</v>
      </c>
      <c r="AC163">
        <v>116.5</v>
      </c>
      <c r="AD163">
        <v>125.9</v>
      </c>
      <c r="AE163">
        <v>135.4</v>
      </c>
      <c r="AF163">
        <v>123.4</v>
      </c>
      <c r="AG163">
        <v>125.5</v>
      </c>
      <c r="AH163">
        <v>132</v>
      </c>
      <c r="AI163">
        <f>SUM('Cleaned Data'!AC163,'Cleaned Data'!AE163,'Cleaned Data'!Z163,'Cleaned Data'!AA163)</f>
        <v>511.90000000000003</v>
      </c>
      <c r="AJ163" s="1">
        <f t="shared" si="14"/>
        <v>127.97500000000001</v>
      </c>
    </row>
    <row r="164" spans="1:36">
      <c r="A164" t="s">
        <v>93</v>
      </c>
      <c r="B164">
        <v>2017</v>
      </c>
      <c r="C164" t="s">
        <v>25</v>
      </c>
      <c r="D164">
        <v>134</v>
      </c>
      <c r="E164">
        <v>144.19999999999999</v>
      </c>
      <c r="F164">
        <v>129.80000000000001</v>
      </c>
      <c r="G164">
        <v>139</v>
      </c>
      <c r="H164">
        <v>120.9</v>
      </c>
      <c r="I164">
        <v>143.9</v>
      </c>
      <c r="J164">
        <v>151.5</v>
      </c>
      <c r="K164">
        <v>138.1</v>
      </c>
      <c r="L164">
        <v>120</v>
      </c>
      <c r="M164">
        <v>133.9</v>
      </c>
      <c r="N164">
        <v>131.4</v>
      </c>
      <c r="O164">
        <v>147.69999999999999</v>
      </c>
      <c r="P164" s="1">
        <f t="shared" si="10"/>
        <v>1641.5</v>
      </c>
      <c r="Q164">
        <v>138.5</v>
      </c>
      <c r="R164">
        <v>147.4</v>
      </c>
      <c r="S164" s="1">
        <f t="shared" si="11"/>
        <v>533.79999999999995</v>
      </c>
      <c r="T164">
        <v>144.30000000000001</v>
      </c>
      <c r="U164">
        <v>138.1</v>
      </c>
      <c r="V164" s="1">
        <f t="shared" si="12"/>
        <v>425.9</v>
      </c>
      <c r="W164">
        <v>143.5</v>
      </c>
      <c r="X164">
        <v>132.6</v>
      </c>
      <c r="Y164" s="1">
        <f t="shared" si="13"/>
        <v>268.7</v>
      </c>
      <c r="Z164">
        <v>135.30000000000001</v>
      </c>
      <c r="AA164">
        <v>136.1</v>
      </c>
      <c r="AB164">
        <v>132.1</v>
      </c>
      <c r="AC164">
        <v>119.1</v>
      </c>
      <c r="AD164">
        <v>130.6</v>
      </c>
      <c r="AE164">
        <v>138.6</v>
      </c>
      <c r="AF164">
        <v>124.4</v>
      </c>
      <c r="AG164">
        <v>128.6</v>
      </c>
      <c r="AH164">
        <v>136.19999999999999</v>
      </c>
      <c r="AI164">
        <f>SUM('Cleaned Data'!AC164,'Cleaned Data'!AE164,'Cleaned Data'!Z164,'Cleaned Data'!AA164)</f>
        <v>529.1</v>
      </c>
      <c r="AJ164" s="1">
        <f t="shared" si="14"/>
        <v>132.27499999999998</v>
      </c>
    </row>
    <row r="165" spans="1:36">
      <c r="A165" t="s">
        <v>94</v>
      </c>
      <c r="B165">
        <v>2017</v>
      </c>
      <c r="C165" t="s">
        <v>25</v>
      </c>
      <c r="D165">
        <v>132.80000000000001</v>
      </c>
      <c r="E165">
        <v>148.4</v>
      </c>
      <c r="F165">
        <v>129.4</v>
      </c>
      <c r="G165">
        <v>137.69999999999999</v>
      </c>
      <c r="H165">
        <v>113.4</v>
      </c>
      <c r="I165">
        <v>139.4</v>
      </c>
      <c r="J165">
        <v>175.1</v>
      </c>
      <c r="K165">
        <v>124.7</v>
      </c>
      <c r="L165">
        <v>121.5</v>
      </c>
      <c r="M165">
        <v>137.80000000000001</v>
      </c>
      <c r="N165">
        <v>124.4</v>
      </c>
      <c r="O165">
        <v>143.69999999999999</v>
      </c>
      <c r="P165" s="1">
        <f t="shared" si="10"/>
        <v>1643.7</v>
      </c>
      <c r="Q165">
        <v>139.80000000000001</v>
      </c>
      <c r="R165">
        <v>150.5</v>
      </c>
      <c r="S165" s="1">
        <f t="shared" si="11"/>
        <v>520.79999999999995</v>
      </c>
      <c r="T165">
        <v>131.6</v>
      </c>
      <c r="U165">
        <v>123.7</v>
      </c>
      <c r="V165" s="1">
        <f t="shared" si="12"/>
        <v>385.70000000000005</v>
      </c>
      <c r="W165">
        <v>130.4</v>
      </c>
      <c r="X165">
        <v>132.6</v>
      </c>
      <c r="Y165" s="1">
        <f t="shared" si="13"/>
        <v>259.8</v>
      </c>
      <c r="Z165">
        <v>119.7</v>
      </c>
      <c r="AA165">
        <v>127.2</v>
      </c>
      <c r="AB165">
        <v>125</v>
      </c>
      <c r="AC165">
        <v>113.2</v>
      </c>
      <c r="AD165">
        <v>123.5</v>
      </c>
      <c r="AE165">
        <v>135.5</v>
      </c>
      <c r="AF165">
        <v>122.4</v>
      </c>
      <c r="AG165">
        <v>123</v>
      </c>
      <c r="AH165">
        <v>131.80000000000001</v>
      </c>
      <c r="AI165">
        <f>SUM('Cleaned Data'!AC165,'Cleaned Data'!AE165,'Cleaned Data'!Z165,'Cleaned Data'!AA165)</f>
        <v>495.59999999999997</v>
      </c>
      <c r="AJ165" s="1">
        <f t="shared" si="14"/>
        <v>123.89999999999999</v>
      </c>
    </row>
    <row r="166" spans="1:36">
      <c r="A166" t="s">
        <v>6</v>
      </c>
      <c r="B166">
        <v>2017</v>
      </c>
      <c r="C166" t="s">
        <v>25</v>
      </c>
      <c r="D166">
        <v>133.6</v>
      </c>
      <c r="E166">
        <v>145.69999999999999</v>
      </c>
      <c r="F166">
        <v>129.6</v>
      </c>
      <c r="G166">
        <v>138.5</v>
      </c>
      <c r="H166">
        <v>118.1</v>
      </c>
      <c r="I166">
        <v>141.80000000000001</v>
      </c>
      <c r="J166">
        <v>159.5</v>
      </c>
      <c r="K166">
        <v>133.6</v>
      </c>
      <c r="L166">
        <v>120.5</v>
      </c>
      <c r="M166">
        <v>135.19999999999999</v>
      </c>
      <c r="N166">
        <v>128.5</v>
      </c>
      <c r="O166">
        <v>145.80000000000001</v>
      </c>
      <c r="P166" s="1">
        <f t="shared" si="10"/>
        <v>1640.8999999999999</v>
      </c>
      <c r="Q166">
        <v>139</v>
      </c>
      <c r="R166">
        <v>148.19999999999999</v>
      </c>
      <c r="S166" s="1">
        <f t="shared" si="11"/>
        <v>526.9</v>
      </c>
      <c r="T166">
        <v>139.30000000000001</v>
      </c>
      <c r="U166">
        <v>132.1</v>
      </c>
      <c r="V166" s="1">
        <f t="shared" si="12"/>
        <v>409.7</v>
      </c>
      <c r="W166">
        <v>138.30000000000001</v>
      </c>
      <c r="X166">
        <v>132.6</v>
      </c>
      <c r="Y166" s="1">
        <f t="shared" si="13"/>
        <v>264.5</v>
      </c>
      <c r="Z166">
        <v>129.4</v>
      </c>
      <c r="AA166">
        <v>131.9</v>
      </c>
      <c r="AB166">
        <v>129.4</v>
      </c>
      <c r="AC166">
        <v>116</v>
      </c>
      <c r="AD166">
        <v>126.6</v>
      </c>
      <c r="AE166">
        <v>136.80000000000001</v>
      </c>
      <c r="AF166">
        <v>123.6</v>
      </c>
      <c r="AG166">
        <v>125.9</v>
      </c>
      <c r="AH166">
        <v>134.19999999999999</v>
      </c>
      <c r="AI166">
        <f>SUM('Cleaned Data'!AC166,'Cleaned Data'!AE166,'Cleaned Data'!Z166,'Cleaned Data'!AA166)</f>
        <v>514.1</v>
      </c>
      <c r="AJ166" s="1">
        <f t="shared" si="14"/>
        <v>128.52500000000001</v>
      </c>
    </row>
    <row r="167" spans="1:36">
      <c r="A167" t="s">
        <v>93</v>
      </c>
      <c r="B167">
        <v>2017</v>
      </c>
      <c r="C167" t="s">
        <v>27</v>
      </c>
      <c r="D167">
        <v>134.80000000000001</v>
      </c>
      <c r="E167">
        <v>143.1</v>
      </c>
      <c r="F167">
        <v>130</v>
      </c>
      <c r="G167">
        <v>139.4</v>
      </c>
      <c r="H167">
        <v>120.5</v>
      </c>
      <c r="I167">
        <v>148</v>
      </c>
      <c r="J167">
        <v>162.9</v>
      </c>
      <c r="K167">
        <v>137.4</v>
      </c>
      <c r="L167">
        <v>120.8</v>
      </c>
      <c r="M167">
        <v>134.69999999999999</v>
      </c>
      <c r="N167">
        <v>131.6</v>
      </c>
      <c r="O167">
        <v>148.69999999999999</v>
      </c>
      <c r="P167" s="1">
        <f t="shared" si="10"/>
        <v>1660.8999999999999</v>
      </c>
      <c r="Q167">
        <v>140.6</v>
      </c>
      <c r="R167">
        <v>149</v>
      </c>
      <c r="S167" s="1">
        <f t="shared" si="11"/>
        <v>537.5</v>
      </c>
      <c r="T167">
        <v>145.30000000000001</v>
      </c>
      <c r="U167">
        <v>139.19999999999999</v>
      </c>
      <c r="V167" s="1">
        <f t="shared" si="12"/>
        <v>429</v>
      </c>
      <c r="W167">
        <v>144.5</v>
      </c>
      <c r="X167">
        <v>134.4</v>
      </c>
      <c r="Y167" s="1">
        <f t="shared" si="13"/>
        <v>271.70000000000005</v>
      </c>
      <c r="Z167">
        <v>136.4</v>
      </c>
      <c r="AA167">
        <v>137.30000000000001</v>
      </c>
      <c r="AB167">
        <v>133</v>
      </c>
      <c r="AC167">
        <v>120.3</v>
      </c>
      <c r="AD167">
        <v>131.5</v>
      </c>
      <c r="AE167">
        <v>140.19999999999999</v>
      </c>
      <c r="AF167">
        <v>125.4</v>
      </c>
      <c r="AG167">
        <v>129.69999999999999</v>
      </c>
      <c r="AH167">
        <v>137.80000000000001</v>
      </c>
      <c r="AI167">
        <f>SUM('Cleaned Data'!AC167,'Cleaned Data'!AE167,'Cleaned Data'!Z167,'Cleaned Data'!AA167)</f>
        <v>534.20000000000005</v>
      </c>
      <c r="AJ167" s="1">
        <f t="shared" si="14"/>
        <v>133.55000000000001</v>
      </c>
    </row>
    <row r="168" spans="1:36">
      <c r="A168" t="s">
        <v>94</v>
      </c>
      <c r="B168">
        <v>2017</v>
      </c>
      <c r="C168" t="s">
        <v>27</v>
      </c>
      <c r="D168">
        <v>133.19999999999999</v>
      </c>
      <c r="E168">
        <v>143.9</v>
      </c>
      <c r="F168">
        <v>128.30000000000001</v>
      </c>
      <c r="G168">
        <v>138.30000000000001</v>
      </c>
      <c r="H168">
        <v>114.1</v>
      </c>
      <c r="I168">
        <v>142.69999999999999</v>
      </c>
      <c r="J168">
        <v>179.8</v>
      </c>
      <c r="K168">
        <v>123.5</v>
      </c>
      <c r="L168">
        <v>122.1</v>
      </c>
      <c r="M168">
        <v>137.5</v>
      </c>
      <c r="N168">
        <v>124.6</v>
      </c>
      <c r="O168">
        <v>144.5</v>
      </c>
      <c r="P168" s="1">
        <f t="shared" si="10"/>
        <v>1648.4000000000003</v>
      </c>
      <c r="Q168">
        <v>140.5</v>
      </c>
      <c r="R168">
        <v>152.1</v>
      </c>
      <c r="S168" s="1">
        <f t="shared" si="11"/>
        <v>524.09999999999991</v>
      </c>
      <c r="T168">
        <v>132.69999999999999</v>
      </c>
      <c r="U168">
        <v>124.3</v>
      </c>
      <c r="V168" s="1">
        <f t="shared" si="12"/>
        <v>388.4</v>
      </c>
      <c r="W168">
        <v>131.4</v>
      </c>
      <c r="X168">
        <v>134.4</v>
      </c>
      <c r="Y168" s="1">
        <f t="shared" si="13"/>
        <v>262.10000000000002</v>
      </c>
      <c r="Z168">
        <v>118.9</v>
      </c>
      <c r="AA168">
        <v>127.7</v>
      </c>
      <c r="AB168">
        <v>125.7</v>
      </c>
      <c r="AC168">
        <v>114.6</v>
      </c>
      <c r="AD168">
        <v>124.1</v>
      </c>
      <c r="AE168">
        <v>135.69999999999999</v>
      </c>
      <c r="AF168">
        <v>123.3</v>
      </c>
      <c r="AG168">
        <v>123.8</v>
      </c>
      <c r="AH168">
        <v>132.69999999999999</v>
      </c>
      <c r="AI168">
        <f>SUM('Cleaned Data'!AC168,'Cleaned Data'!AE168,'Cleaned Data'!Z168,'Cleaned Data'!AA168)</f>
        <v>496.9</v>
      </c>
      <c r="AJ168" s="1">
        <f t="shared" si="14"/>
        <v>124.22499999999999</v>
      </c>
    </row>
    <row r="169" spans="1:36">
      <c r="A169" t="s">
        <v>6</v>
      </c>
      <c r="B169">
        <v>2017</v>
      </c>
      <c r="C169" t="s">
        <v>27</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s="1">
        <f t="shared" si="10"/>
        <v>1655.1</v>
      </c>
      <c r="Q169">
        <v>140.6</v>
      </c>
      <c r="R169">
        <v>149.80000000000001</v>
      </c>
      <c r="S169" s="1">
        <f t="shared" si="11"/>
        <v>530.29999999999995</v>
      </c>
      <c r="T169">
        <v>140.30000000000001</v>
      </c>
      <c r="U169">
        <v>133</v>
      </c>
      <c r="V169" s="1">
        <f t="shared" si="12"/>
        <v>412.6</v>
      </c>
      <c r="W169">
        <v>139.30000000000001</v>
      </c>
      <c r="X169">
        <v>134.4</v>
      </c>
      <c r="Y169" s="1">
        <f t="shared" si="13"/>
        <v>267.20000000000005</v>
      </c>
      <c r="Z169">
        <v>129.80000000000001</v>
      </c>
      <c r="AA169">
        <v>132.80000000000001</v>
      </c>
      <c r="AB169">
        <v>130.19999999999999</v>
      </c>
      <c r="AC169">
        <v>117.3</v>
      </c>
      <c r="AD169">
        <v>127.3</v>
      </c>
      <c r="AE169">
        <v>137.6</v>
      </c>
      <c r="AF169">
        <v>124.5</v>
      </c>
      <c r="AG169">
        <v>126.8</v>
      </c>
      <c r="AH169">
        <v>135.4</v>
      </c>
      <c r="AI169">
        <f>SUM('Cleaned Data'!AC169,'Cleaned Data'!AE169,'Cleaned Data'!Z169,'Cleaned Data'!AA169)</f>
        <v>517.5</v>
      </c>
      <c r="AJ169" s="1">
        <f t="shared" si="14"/>
        <v>129.375</v>
      </c>
    </row>
    <row r="170" spans="1:36">
      <c r="A170" t="s">
        <v>93</v>
      </c>
      <c r="B170">
        <v>2017</v>
      </c>
      <c r="C170" t="s">
        <v>29</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s="1">
        <f t="shared" si="10"/>
        <v>1652.6000000000001</v>
      </c>
      <c r="Q170">
        <v>139.6</v>
      </c>
      <c r="R170">
        <v>149.80000000000001</v>
      </c>
      <c r="S170" s="1">
        <f t="shared" si="11"/>
        <v>540.5</v>
      </c>
      <c r="T170">
        <v>146.1</v>
      </c>
      <c r="U170">
        <v>139.69999999999999</v>
      </c>
      <c r="V170" s="1">
        <f t="shared" si="12"/>
        <v>430.99999999999994</v>
      </c>
      <c r="W170">
        <v>145.19999999999999</v>
      </c>
      <c r="X170">
        <v>135.69999999999999</v>
      </c>
      <c r="Y170" s="1">
        <f t="shared" si="13"/>
        <v>273.60000000000002</v>
      </c>
      <c r="Z170">
        <v>137.4</v>
      </c>
      <c r="AA170">
        <v>137.9</v>
      </c>
      <c r="AB170">
        <v>133.4</v>
      </c>
      <c r="AC170">
        <v>121.2</v>
      </c>
      <c r="AD170">
        <v>132.30000000000001</v>
      </c>
      <c r="AE170">
        <v>139.6</v>
      </c>
      <c r="AF170">
        <v>126.7</v>
      </c>
      <c r="AG170">
        <v>130.30000000000001</v>
      </c>
      <c r="AH170">
        <v>137.6</v>
      </c>
      <c r="AI170">
        <f>SUM('Cleaned Data'!AC170,'Cleaned Data'!AE170,'Cleaned Data'!Z170,'Cleaned Data'!AA170)</f>
        <v>536.1</v>
      </c>
      <c r="AJ170" s="1">
        <f t="shared" si="14"/>
        <v>134.02500000000001</v>
      </c>
    </row>
    <row r="171" spans="1:36">
      <c r="A171" t="s">
        <v>94</v>
      </c>
      <c r="B171">
        <v>2017</v>
      </c>
      <c r="C171" t="s">
        <v>29</v>
      </c>
      <c r="D171">
        <v>133.6</v>
      </c>
      <c r="E171">
        <v>143</v>
      </c>
      <c r="F171">
        <v>129.69999999999999</v>
      </c>
      <c r="G171">
        <v>138.69999999999999</v>
      </c>
      <c r="H171">
        <v>114.5</v>
      </c>
      <c r="I171">
        <v>137.5</v>
      </c>
      <c r="J171">
        <v>160.69999999999999</v>
      </c>
      <c r="K171">
        <v>124.5</v>
      </c>
      <c r="L171">
        <v>122.4</v>
      </c>
      <c r="M171">
        <v>137.30000000000001</v>
      </c>
      <c r="N171">
        <v>124.8</v>
      </c>
      <c r="O171">
        <v>145</v>
      </c>
      <c r="P171" s="1">
        <f t="shared" si="10"/>
        <v>1624.9</v>
      </c>
      <c r="Q171">
        <v>138</v>
      </c>
      <c r="R171">
        <v>153.6</v>
      </c>
      <c r="S171" s="1">
        <f t="shared" si="11"/>
        <v>527.29999999999995</v>
      </c>
      <c r="T171">
        <v>133.30000000000001</v>
      </c>
      <c r="U171">
        <v>124.6</v>
      </c>
      <c r="V171" s="1">
        <f t="shared" si="12"/>
        <v>389.9</v>
      </c>
      <c r="W171">
        <v>132</v>
      </c>
      <c r="X171">
        <v>135.69999999999999</v>
      </c>
      <c r="Y171" s="1">
        <f t="shared" si="13"/>
        <v>263.79999999999995</v>
      </c>
      <c r="Z171">
        <v>120.6</v>
      </c>
      <c r="AA171">
        <v>128.1</v>
      </c>
      <c r="AB171">
        <v>126.1</v>
      </c>
      <c r="AC171">
        <v>115.7</v>
      </c>
      <c r="AD171">
        <v>124.5</v>
      </c>
      <c r="AE171">
        <v>135.9</v>
      </c>
      <c r="AF171">
        <v>124.4</v>
      </c>
      <c r="AG171">
        <v>124.5</v>
      </c>
      <c r="AH171">
        <v>132.4</v>
      </c>
      <c r="AI171">
        <f>SUM('Cleaned Data'!AC171,'Cleaned Data'!AE171,'Cleaned Data'!Z171,'Cleaned Data'!AA171)</f>
        <v>500.30000000000007</v>
      </c>
      <c r="AJ171" s="1">
        <f t="shared" si="14"/>
        <v>125.07500000000002</v>
      </c>
    </row>
    <row r="172" spans="1:36">
      <c r="A172" t="s">
        <v>6</v>
      </c>
      <c r="B172">
        <v>2017</v>
      </c>
      <c r="C172" t="s">
        <v>29</v>
      </c>
      <c r="D172">
        <v>134.69999999999999</v>
      </c>
      <c r="E172">
        <v>142.4</v>
      </c>
      <c r="F172">
        <v>130.19999999999999</v>
      </c>
      <c r="G172">
        <v>139.6</v>
      </c>
      <c r="H172">
        <v>118.4</v>
      </c>
      <c r="I172">
        <v>143</v>
      </c>
      <c r="J172">
        <v>156.6</v>
      </c>
      <c r="K172">
        <v>132.9</v>
      </c>
      <c r="L172">
        <v>121.5</v>
      </c>
      <c r="M172">
        <v>135.6</v>
      </c>
      <c r="N172">
        <v>128.80000000000001</v>
      </c>
      <c r="O172">
        <v>147.30000000000001</v>
      </c>
      <c r="P172" s="1">
        <f t="shared" si="10"/>
        <v>1641.2</v>
      </c>
      <c r="Q172">
        <v>139</v>
      </c>
      <c r="R172">
        <v>150.80000000000001</v>
      </c>
      <c r="S172" s="1">
        <f t="shared" si="11"/>
        <v>533.20000000000005</v>
      </c>
      <c r="T172">
        <v>141.1</v>
      </c>
      <c r="U172">
        <v>133.4</v>
      </c>
      <c r="V172" s="1">
        <f t="shared" si="12"/>
        <v>414.5</v>
      </c>
      <c r="W172">
        <v>140</v>
      </c>
      <c r="X172">
        <v>135.69999999999999</v>
      </c>
      <c r="Y172" s="1">
        <f t="shared" si="13"/>
        <v>269</v>
      </c>
      <c r="Z172">
        <v>131</v>
      </c>
      <c r="AA172">
        <v>133.30000000000001</v>
      </c>
      <c r="AB172">
        <v>130.6</v>
      </c>
      <c r="AC172">
        <v>118.3</v>
      </c>
      <c r="AD172">
        <v>127.9</v>
      </c>
      <c r="AE172">
        <v>137.4</v>
      </c>
      <c r="AF172">
        <v>125.7</v>
      </c>
      <c r="AG172">
        <v>127.5</v>
      </c>
      <c r="AH172">
        <v>135.19999999999999</v>
      </c>
      <c r="AI172">
        <f>SUM('Cleaned Data'!AC172,'Cleaned Data'!AE172,'Cleaned Data'!Z172,'Cleaned Data'!AA172)</f>
        <v>520</v>
      </c>
      <c r="AJ172" s="1">
        <f t="shared" si="14"/>
        <v>130</v>
      </c>
    </row>
    <row r="173" spans="1:36">
      <c r="A173" t="s">
        <v>93</v>
      </c>
      <c r="B173">
        <v>2017</v>
      </c>
      <c r="C173" t="s">
        <v>31</v>
      </c>
      <c r="D173">
        <v>135.9</v>
      </c>
      <c r="E173">
        <v>141.9</v>
      </c>
      <c r="F173">
        <v>131</v>
      </c>
      <c r="G173">
        <v>141.5</v>
      </c>
      <c r="H173">
        <v>121.4</v>
      </c>
      <c r="I173">
        <v>146.69999999999999</v>
      </c>
      <c r="J173">
        <v>157.1</v>
      </c>
      <c r="K173">
        <v>136.4</v>
      </c>
      <c r="L173">
        <v>121.4</v>
      </c>
      <c r="M173">
        <v>135.6</v>
      </c>
      <c r="N173">
        <v>131.30000000000001</v>
      </c>
      <c r="O173">
        <v>150.30000000000001</v>
      </c>
      <c r="P173" s="1">
        <f t="shared" si="10"/>
        <v>1659.6000000000004</v>
      </c>
      <c r="Q173">
        <v>140.4</v>
      </c>
      <c r="R173">
        <v>150.5</v>
      </c>
      <c r="S173" s="1">
        <f t="shared" si="11"/>
        <v>542.20000000000005</v>
      </c>
      <c r="T173">
        <v>147.19999999999999</v>
      </c>
      <c r="U173">
        <v>140.6</v>
      </c>
      <c r="V173" s="1">
        <f t="shared" si="12"/>
        <v>433.99999999999994</v>
      </c>
      <c r="W173">
        <v>146.19999999999999</v>
      </c>
      <c r="X173">
        <v>137.30000000000001</v>
      </c>
      <c r="Y173" s="1">
        <f t="shared" si="13"/>
        <v>275.70000000000005</v>
      </c>
      <c r="Z173">
        <v>138.1</v>
      </c>
      <c r="AA173">
        <v>138.4</v>
      </c>
      <c r="AB173">
        <v>134.19999999999999</v>
      </c>
      <c r="AC173">
        <v>121</v>
      </c>
      <c r="AD173">
        <v>133</v>
      </c>
      <c r="AE173">
        <v>140.1</v>
      </c>
      <c r="AF173">
        <v>127.4</v>
      </c>
      <c r="AG173">
        <v>130.69999999999999</v>
      </c>
      <c r="AH173">
        <v>138.30000000000001</v>
      </c>
      <c r="AI173">
        <f>SUM('Cleaned Data'!AC173,'Cleaned Data'!AE173,'Cleaned Data'!Z173,'Cleaned Data'!AA173)</f>
        <v>537.6</v>
      </c>
      <c r="AJ173" s="1">
        <f t="shared" si="14"/>
        <v>134.4</v>
      </c>
    </row>
    <row r="174" spans="1:36">
      <c r="A174" t="s">
        <v>94</v>
      </c>
      <c r="B174">
        <v>2017</v>
      </c>
      <c r="C174" t="s">
        <v>31</v>
      </c>
      <c r="D174">
        <v>133.9</v>
      </c>
      <c r="E174">
        <v>142.80000000000001</v>
      </c>
      <c r="F174">
        <v>131.4</v>
      </c>
      <c r="G174">
        <v>139.1</v>
      </c>
      <c r="H174">
        <v>114.9</v>
      </c>
      <c r="I174">
        <v>135.6</v>
      </c>
      <c r="J174">
        <v>173.2</v>
      </c>
      <c r="K174">
        <v>124.1</v>
      </c>
      <c r="L174">
        <v>122.6</v>
      </c>
      <c r="M174">
        <v>137.80000000000001</v>
      </c>
      <c r="N174">
        <v>125.1</v>
      </c>
      <c r="O174">
        <v>145.5</v>
      </c>
      <c r="P174" s="1">
        <f t="shared" si="10"/>
        <v>1640.6000000000001</v>
      </c>
      <c r="Q174">
        <v>139.69999999999999</v>
      </c>
      <c r="R174">
        <v>154.6</v>
      </c>
      <c r="S174" s="1">
        <f t="shared" si="11"/>
        <v>529.1</v>
      </c>
      <c r="T174">
        <v>134</v>
      </c>
      <c r="U174">
        <v>124.9</v>
      </c>
      <c r="V174" s="1">
        <f t="shared" si="12"/>
        <v>391.5</v>
      </c>
      <c r="W174">
        <v>132.6</v>
      </c>
      <c r="X174">
        <v>137.30000000000001</v>
      </c>
      <c r="Y174" s="1">
        <f t="shared" si="13"/>
        <v>265.60000000000002</v>
      </c>
      <c r="Z174">
        <v>122.6</v>
      </c>
      <c r="AA174">
        <v>128.30000000000001</v>
      </c>
      <c r="AB174">
        <v>126.6</v>
      </c>
      <c r="AC174">
        <v>115</v>
      </c>
      <c r="AD174">
        <v>124.8</v>
      </c>
      <c r="AE174">
        <v>136.30000000000001</v>
      </c>
      <c r="AF174">
        <v>124.6</v>
      </c>
      <c r="AG174">
        <v>124.5</v>
      </c>
      <c r="AH174">
        <v>133.5</v>
      </c>
      <c r="AI174">
        <f>SUM('Cleaned Data'!AC174,'Cleaned Data'!AE174,'Cleaned Data'!Z174,'Cleaned Data'!AA174)</f>
        <v>502.2</v>
      </c>
      <c r="AJ174" s="1">
        <f t="shared" si="14"/>
        <v>125.55000000000001</v>
      </c>
    </row>
    <row r="175" spans="1:36">
      <c r="A175" t="s">
        <v>6</v>
      </c>
      <c r="B175">
        <v>2017</v>
      </c>
      <c r="C175" t="s">
        <v>31</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s="1">
        <f t="shared" si="10"/>
        <v>1651</v>
      </c>
      <c r="Q175">
        <v>140.1</v>
      </c>
      <c r="R175">
        <v>151.6</v>
      </c>
      <c r="S175" s="1">
        <f t="shared" si="11"/>
        <v>534.9</v>
      </c>
      <c r="T175">
        <v>142</v>
      </c>
      <c r="U175">
        <v>134.1</v>
      </c>
      <c r="V175" s="1">
        <f t="shared" si="12"/>
        <v>416.90000000000003</v>
      </c>
      <c r="W175">
        <v>140.80000000000001</v>
      </c>
      <c r="X175">
        <v>137.30000000000001</v>
      </c>
      <c r="Y175" s="1">
        <f t="shared" si="13"/>
        <v>270.89999999999998</v>
      </c>
      <c r="Z175">
        <v>132.19999999999999</v>
      </c>
      <c r="AA175">
        <v>133.6</v>
      </c>
      <c r="AB175">
        <v>131.30000000000001</v>
      </c>
      <c r="AC175">
        <v>117.8</v>
      </c>
      <c r="AD175">
        <v>128.4</v>
      </c>
      <c r="AE175">
        <v>137.9</v>
      </c>
      <c r="AF175">
        <v>126.2</v>
      </c>
      <c r="AG175">
        <v>127.7</v>
      </c>
      <c r="AH175">
        <v>136.1</v>
      </c>
      <c r="AI175">
        <f>SUM('Cleaned Data'!AC175,'Cleaned Data'!AE175,'Cleaned Data'!Z175,'Cleaned Data'!AA175)</f>
        <v>521.5</v>
      </c>
      <c r="AJ175" s="1">
        <f t="shared" si="14"/>
        <v>130.375</v>
      </c>
    </row>
    <row r="176" spans="1:36">
      <c r="A176" t="s">
        <v>93</v>
      </c>
      <c r="B176">
        <v>2017</v>
      </c>
      <c r="C176" t="s">
        <v>33</v>
      </c>
      <c r="D176">
        <v>136.30000000000001</v>
      </c>
      <c r="E176">
        <v>142.5</v>
      </c>
      <c r="F176">
        <v>140.5</v>
      </c>
      <c r="G176">
        <v>141.5</v>
      </c>
      <c r="H176">
        <v>121.6</v>
      </c>
      <c r="I176">
        <v>147.30000000000001</v>
      </c>
      <c r="J176">
        <v>168</v>
      </c>
      <c r="K176">
        <v>135.80000000000001</v>
      </c>
      <c r="L176">
        <v>122.5</v>
      </c>
      <c r="M176">
        <v>136</v>
      </c>
      <c r="N176">
        <v>131.9</v>
      </c>
      <c r="O176">
        <v>151.4</v>
      </c>
      <c r="P176" s="1">
        <f t="shared" si="10"/>
        <v>1685.8</v>
      </c>
      <c r="Q176">
        <v>142.4</v>
      </c>
      <c r="R176">
        <v>152.1</v>
      </c>
      <c r="S176" s="1">
        <f t="shared" si="11"/>
        <v>545.79999999999995</v>
      </c>
      <c r="T176">
        <v>148.19999999999999</v>
      </c>
      <c r="U176">
        <v>141.5</v>
      </c>
      <c r="V176" s="1">
        <f t="shared" si="12"/>
        <v>437</v>
      </c>
      <c r="W176">
        <v>147.30000000000001</v>
      </c>
      <c r="X176">
        <v>128.6</v>
      </c>
      <c r="Y176" s="1">
        <f t="shared" si="13"/>
        <v>268</v>
      </c>
      <c r="Z176">
        <v>141.1</v>
      </c>
      <c r="AA176">
        <v>139.4</v>
      </c>
      <c r="AB176">
        <v>135.80000000000001</v>
      </c>
      <c r="AC176">
        <v>121.6</v>
      </c>
      <c r="AD176">
        <v>133.69999999999999</v>
      </c>
      <c r="AE176">
        <v>141.5</v>
      </c>
      <c r="AF176">
        <v>128.1</v>
      </c>
      <c r="AG176">
        <v>131.69999999999999</v>
      </c>
      <c r="AH176">
        <v>140</v>
      </c>
      <c r="AI176">
        <f>SUM('Cleaned Data'!AC176,'Cleaned Data'!AE176,'Cleaned Data'!Z176,'Cleaned Data'!AA176)</f>
        <v>543.6</v>
      </c>
      <c r="AJ176" s="1">
        <f t="shared" si="14"/>
        <v>135.9</v>
      </c>
    </row>
    <row r="177" spans="1:36">
      <c r="A177" t="s">
        <v>94</v>
      </c>
      <c r="B177">
        <v>2017</v>
      </c>
      <c r="C177" t="s">
        <v>33</v>
      </c>
      <c r="D177">
        <v>134.30000000000001</v>
      </c>
      <c r="E177">
        <v>142.1</v>
      </c>
      <c r="F177">
        <v>146.69999999999999</v>
      </c>
      <c r="G177">
        <v>139.5</v>
      </c>
      <c r="H177">
        <v>115.2</v>
      </c>
      <c r="I177">
        <v>136.4</v>
      </c>
      <c r="J177">
        <v>185.2</v>
      </c>
      <c r="K177">
        <v>122.2</v>
      </c>
      <c r="L177">
        <v>123.9</v>
      </c>
      <c r="M177">
        <v>138.30000000000001</v>
      </c>
      <c r="N177">
        <v>125.4</v>
      </c>
      <c r="O177">
        <v>146</v>
      </c>
      <c r="P177" s="1">
        <f t="shared" si="10"/>
        <v>1671.3000000000002</v>
      </c>
      <c r="Q177">
        <v>141.5</v>
      </c>
      <c r="R177">
        <v>156.19999999999999</v>
      </c>
      <c r="S177" s="1">
        <f t="shared" si="11"/>
        <v>531.6</v>
      </c>
      <c r="T177">
        <v>135</v>
      </c>
      <c r="U177">
        <v>125.4</v>
      </c>
      <c r="V177" s="1">
        <f t="shared" si="12"/>
        <v>393.9</v>
      </c>
      <c r="W177">
        <v>133.5</v>
      </c>
      <c r="X177">
        <v>138.6</v>
      </c>
      <c r="Y177" s="1">
        <f t="shared" si="13"/>
        <v>267.39999999999998</v>
      </c>
      <c r="Z177">
        <v>125.7</v>
      </c>
      <c r="AA177">
        <v>128.80000000000001</v>
      </c>
      <c r="AB177">
        <v>127.4</v>
      </c>
      <c r="AC177">
        <v>115.3</v>
      </c>
      <c r="AD177">
        <v>125.1</v>
      </c>
      <c r="AE177">
        <v>136.6</v>
      </c>
      <c r="AF177">
        <v>124.9</v>
      </c>
      <c r="AG177">
        <v>124.9</v>
      </c>
      <c r="AH177">
        <v>134.80000000000001</v>
      </c>
      <c r="AI177">
        <f>SUM('Cleaned Data'!AC177,'Cleaned Data'!AE177,'Cleaned Data'!Z177,'Cleaned Data'!AA177)</f>
        <v>506.4</v>
      </c>
      <c r="AJ177" s="1">
        <f t="shared" si="14"/>
        <v>126.6</v>
      </c>
    </row>
    <row r="178" spans="1:36">
      <c r="A178" t="s">
        <v>6</v>
      </c>
      <c r="B178">
        <v>2017</v>
      </c>
      <c r="C178" t="s">
        <v>33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s="1">
        <f t="shared" si="10"/>
        <v>1679.0000000000002</v>
      </c>
      <c r="Q178">
        <v>142.1</v>
      </c>
      <c r="R178">
        <v>153.19999999999999</v>
      </c>
      <c r="S178" s="1">
        <f t="shared" si="11"/>
        <v>538.09999999999991</v>
      </c>
      <c r="T178">
        <v>143</v>
      </c>
      <c r="U178">
        <v>134.80000000000001</v>
      </c>
      <c r="V178" s="1">
        <f t="shared" si="12"/>
        <v>419.6</v>
      </c>
      <c r="W178">
        <v>141.80000000000001</v>
      </c>
      <c r="X178">
        <v>138.6</v>
      </c>
      <c r="Y178" s="1">
        <f t="shared" si="13"/>
        <v>273</v>
      </c>
      <c r="Z178">
        <v>135.30000000000001</v>
      </c>
      <c r="AA178">
        <v>134.4</v>
      </c>
      <c r="AB178">
        <v>132.6</v>
      </c>
      <c r="AC178">
        <v>118.3</v>
      </c>
      <c r="AD178">
        <v>128.9</v>
      </c>
      <c r="AE178">
        <v>138.6</v>
      </c>
      <c r="AF178">
        <v>126.8</v>
      </c>
      <c r="AG178">
        <v>128.4</v>
      </c>
      <c r="AH178">
        <v>137.6</v>
      </c>
      <c r="AI178">
        <f>SUM('Cleaned Data'!AC178,'Cleaned Data'!AE178,'Cleaned Data'!Z178,'Cleaned Data'!AA178)</f>
        <v>526.6</v>
      </c>
      <c r="AJ178" s="1">
        <f t="shared" si="14"/>
        <v>131.64999999999998</v>
      </c>
    </row>
    <row r="179" spans="1:36">
      <c r="A179" t="s">
        <v>93</v>
      </c>
      <c r="B179">
        <v>2017</v>
      </c>
      <c r="C179" t="s">
        <v>35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s="1">
        <f t="shared" si="10"/>
        <v>1682.5000000000002</v>
      </c>
      <c r="Q179">
        <v>141.5</v>
      </c>
      <c r="R179">
        <v>153.19999999999999</v>
      </c>
      <c r="S179" s="1">
        <f t="shared" si="11"/>
        <v>545.49999999999989</v>
      </c>
      <c r="T179">
        <v>148</v>
      </c>
      <c r="U179">
        <v>141.9</v>
      </c>
      <c r="V179" s="1">
        <f t="shared" si="12"/>
        <v>437.09999999999997</v>
      </c>
      <c r="W179">
        <v>147.19999999999999</v>
      </c>
      <c r="X179">
        <v>139.1</v>
      </c>
      <c r="Y179" s="1">
        <f t="shared" si="13"/>
        <v>278.60000000000002</v>
      </c>
      <c r="Z179">
        <v>142.6</v>
      </c>
      <c r="AA179">
        <v>139.5</v>
      </c>
      <c r="AB179">
        <v>136.1</v>
      </c>
      <c r="AC179">
        <v>122</v>
      </c>
      <c r="AD179">
        <v>133.4</v>
      </c>
      <c r="AE179">
        <v>141.1</v>
      </c>
      <c r="AF179">
        <v>127.8</v>
      </c>
      <c r="AG179">
        <v>131.9</v>
      </c>
      <c r="AH179">
        <v>139.80000000000001</v>
      </c>
      <c r="AI179">
        <f>SUM('Cleaned Data'!AC179,'Cleaned Data'!AE179,'Cleaned Data'!Z179,'Cleaned Data'!AA179)</f>
        <v>545.20000000000005</v>
      </c>
      <c r="AJ179" s="1">
        <f t="shared" si="14"/>
        <v>136.30000000000001</v>
      </c>
    </row>
    <row r="180" spans="1:36">
      <c r="A180" t="s">
        <v>94</v>
      </c>
      <c r="B180">
        <v>2017</v>
      </c>
      <c r="C180" t="s">
        <v>35</v>
      </c>
      <c r="D180">
        <v>134.4</v>
      </c>
      <c r="E180">
        <v>142.6</v>
      </c>
      <c r="F180">
        <v>145.9</v>
      </c>
      <c r="G180">
        <v>139.5</v>
      </c>
      <c r="H180">
        <v>115.9</v>
      </c>
      <c r="I180">
        <v>135</v>
      </c>
      <c r="J180">
        <v>163.19999999999999</v>
      </c>
      <c r="K180">
        <v>119.8</v>
      </c>
      <c r="L180">
        <v>120.7</v>
      </c>
      <c r="M180">
        <v>139.69999999999999</v>
      </c>
      <c r="N180">
        <v>125.7</v>
      </c>
      <c r="O180">
        <v>146.30000000000001</v>
      </c>
      <c r="P180" s="1">
        <f t="shared" si="10"/>
        <v>1641.8</v>
      </c>
      <c r="Q180">
        <v>138.80000000000001</v>
      </c>
      <c r="R180">
        <v>157</v>
      </c>
      <c r="S180" s="1">
        <f t="shared" si="11"/>
        <v>532.9</v>
      </c>
      <c r="T180">
        <v>135.6</v>
      </c>
      <c r="U180">
        <v>125.6</v>
      </c>
      <c r="V180" s="1">
        <f t="shared" si="12"/>
        <v>395.2</v>
      </c>
      <c r="W180">
        <v>134</v>
      </c>
      <c r="X180">
        <v>139.1</v>
      </c>
      <c r="Y180" s="1">
        <f t="shared" si="13"/>
        <v>268.39999999999998</v>
      </c>
      <c r="Z180">
        <v>126.8</v>
      </c>
      <c r="AA180">
        <v>129.30000000000001</v>
      </c>
      <c r="AB180">
        <v>128.19999999999999</v>
      </c>
      <c r="AC180">
        <v>115.3</v>
      </c>
      <c r="AD180">
        <v>125.6</v>
      </c>
      <c r="AE180">
        <v>136.69999999999999</v>
      </c>
      <c r="AF180">
        <v>124.6</v>
      </c>
      <c r="AG180">
        <v>125.1</v>
      </c>
      <c r="AH180">
        <v>134.1</v>
      </c>
      <c r="AI180">
        <f>SUM('Cleaned Data'!AC180,'Cleaned Data'!AE180,'Cleaned Data'!Z180,'Cleaned Data'!AA180)</f>
        <v>508.1</v>
      </c>
      <c r="AJ180" s="1">
        <f t="shared" si="14"/>
        <v>127.02500000000001</v>
      </c>
    </row>
    <row r="181" spans="1:36">
      <c r="A181" t="s">
        <v>6</v>
      </c>
      <c r="B181">
        <v>2017</v>
      </c>
      <c r="C181" t="s">
        <v>35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s="1">
        <f t="shared" si="10"/>
        <v>1666.2</v>
      </c>
      <c r="Q181">
        <v>140.5</v>
      </c>
      <c r="R181">
        <v>154.19999999999999</v>
      </c>
      <c r="S181" s="1">
        <f t="shared" si="11"/>
        <v>538.5</v>
      </c>
      <c r="T181">
        <v>143.1</v>
      </c>
      <c r="U181">
        <v>135.1</v>
      </c>
      <c r="V181" s="1">
        <f t="shared" si="12"/>
        <v>420.2</v>
      </c>
      <c r="W181">
        <v>142</v>
      </c>
      <c r="X181">
        <v>139.1</v>
      </c>
      <c r="Y181" s="1">
        <f t="shared" si="13"/>
        <v>273.79999999999995</v>
      </c>
      <c r="Z181">
        <v>136.6</v>
      </c>
      <c r="AA181">
        <v>134.69999999999999</v>
      </c>
      <c r="AB181">
        <v>133.1</v>
      </c>
      <c r="AC181">
        <v>118.5</v>
      </c>
      <c r="AD181">
        <v>129</v>
      </c>
      <c r="AE181">
        <v>138.5</v>
      </c>
      <c r="AF181">
        <v>126.5</v>
      </c>
      <c r="AG181">
        <v>128.6</v>
      </c>
      <c r="AH181">
        <v>137.19999999999999</v>
      </c>
      <c r="AI181">
        <f>SUM('Cleaned Data'!AC181,'Cleaned Data'!AE181,'Cleaned Data'!Z181,'Cleaned Data'!AA181)</f>
        <v>528.29999999999995</v>
      </c>
      <c r="AJ181" s="1">
        <f t="shared" si="14"/>
        <v>132.07499999999999</v>
      </c>
    </row>
    <row r="182" spans="1:36">
      <c r="A182" t="s">
        <v>93</v>
      </c>
      <c r="B182">
        <v>2018</v>
      </c>
      <c r="C182" t="s">
        <v>11</v>
      </c>
      <c r="D182">
        <v>136.6</v>
      </c>
      <c r="E182">
        <v>144.4</v>
      </c>
      <c r="F182">
        <v>143.80000000000001</v>
      </c>
      <c r="G182">
        <v>142</v>
      </c>
      <c r="H182">
        <v>123.2</v>
      </c>
      <c r="I182">
        <v>147.9</v>
      </c>
      <c r="J182">
        <v>152.1</v>
      </c>
      <c r="K182">
        <v>131.80000000000001</v>
      </c>
      <c r="L182">
        <v>119.5</v>
      </c>
      <c r="M182">
        <v>136</v>
      </c>
      <c r="N182">
        <v>131.19999999999999</v>
      </c>
      <c r="O182">
        <v>151.80000000000001</v>
      </c>
      <c r="P182" s="1">
        <f t="shared" si="10"/>
        <v>1669.5000000000002</v>
      </c>
      <c r="Q182">
        <v>140.4</v>
      </c>
      <c r="R182">
        <v>153.6</v>
      </c>
      <c r="S182" s="1">
        <f t="shared" si="11"/>
        <v>547.69999999999993</v>
      </c>
      <c r="T182">
        <v>148.30000000000001</v>
      </c>
      <c r="U182">
        <v>142.30000000000001</v>
      </c>
      <c r="V182" s="1">
        <f t="shared" si="12"/>
        <v>438.1</v>
      </c>
      <c r="W182">
        <v>147.5</v>
      </c>
      <c r="X182">
        <v>140.4</v>
      </c>
      <c r="Y182" s="1">
        <f t="shared" si="13"/>
        <v>280.20000000000005</v>
      </c>
      <c r="Z182">
        <v>142.30000000000001</v>
      </c>
      <c r="AA182">
        <v>139.80000000000001</v>
      </c>
      <c r="AB182">
        <v>136</v>
      </c>
      <c r="AC182">
        <v>122.7</v>
      </c>
      <c r="AD182">
        <v>134.30000000000001</v>
      </c>
      <c r="AE182">
        <v>141.6</v>
      </c>
      <c r="AF182">
        <v>128.6</v>
      </c>
      <c r="AG182">
        <v>132.30000000000001</v>
      </c>
      <c r="AH182">
        <v>139.30000000000001</v>
      </c>
      <c r="AI182">
        <f>SUM('Cleaned Data'!AC182,'Cleaned Data'!AE182,'Cleaned Data'!Z182,'Cleaned Data'!AA182)</f>
        <v>546.40000000000009</v>
      </c>
      <c r="AJ182" s="1">
        <f t="shared" si="14"/>
        <v>136.60000000000002</v>
      </c>
    </row>
    <row r="183" spans="1:36">
      <c r="A183" t="s">
        <v>94</v>
      </c>
      <c r="B183">
        <v>2018</v>
      </c>
      <c r="C183" t="s">
        <v>11</v>
      </c>
      <c r="D183">
        <v>134.6</v>
      </c>
      <c r="E183">
        <v>143.69999999999999</v>
      </c>
      <c r="F183">
        <v>143.6</v>
      </c>
      <c r="G183">
        <v>139.6</v>
      </c>
      <c r="H183">
        <v>116.4</v>
      </c>
      <c r="I183">
        <v>133.80000000000001</v>
      </c>
      <c r="J183">
        <v>150.5</v>
      </c>
      <c r="K183">
        <v>118.4</v>
      </c>
      <c r="L183">
        <v>117.3</v>
      </c>
      <c r="M183">
        <v>140.5</v>
      </c>
      <c r="N183">
        <v>125.9</v>
      </c>
      <c r="O183">
        <v>146.80000000000001</v>
      </c>
      <c r="P183" s="1">
        <f t="shared" si="10"/>
        <v>1622.3999999999999</v>
      </c>
      <c r="Q183">
        <v>137.19999999999999</v>
      </c>
      <c r="R183">
        <v>157.69999999999999</v>
      </c>
      <c r="S183" s="1">
        <f t="shared" si="11"/>
        <v>535.29999999999995</v>
      </c>
      <c r="T183">
        <v>136</v>
      </c>
      <c r="U183">
        <v>125.9</v>
      </c>
      <c r="V183" s="1">
        <f t="shared" si="12"/>
        <v>396.29999999999995</v>
      </c>
      <c r="W183">
        <v>134.4</v>
      </c>
      <c r="X183">
        <v>140.4</v>
      </c>
      <c r="Y183" s="1">
        <f t="shared" si="13"/>
        <v>269.89999999999998</v>
      </c>
      <c r="Z183">
        <v>127.3</v>
      </c>
      <c r="AA183">
        <v>129.5</v>
      </c>
      <c r="AB183">
        <v>129</v>
      </c>
      <c r="AC183">
        <v>116.3</v>
      </c>
      <c r="AD183">
        <v>126.2</v>
      </c>
      <c r="AE183">
        <v>137.1</v>
      </c>
      <c r="AF183">
        <v>125.5</v>
      </c>
      <c r="AG183">
        <v>125.8</v>
      </c>
      <c r="AH183">
        <v>134.1</v>
      </c>
      <c r="AI183">
        <f>SUM('Cleaned Data'!AC183,'Cleaned Data'!AE183,'Cleaned Data'!Z183,'Cleaned Data'!AA183)</f>
        <v>510.2</v>
      </c>
      <c r="AJ183" s="1">
        <f t="shared" si="14"/>
        <v>127.55</v>
      </c>
    </row>
    <row r="184" spans="1:36">
      <c r="A184" t="s">
        <v>6</v>
      </c>
      <c r="B184">
        <v>2018</v>
      </c>
      <c r="C184" t="s">
        <v>11</v>
      </c>
      <c r="D184">
        <v>136</v>
      </c>
      <c r="E184">
        <v>144.19999999999999</v>
      </c>
      <c r="F184">
        <v>143.69999999999999</v>
      </c>
      <c r="G184">
        <v>141.1</v>
      </c>
      <c r="H184">
        <v>120.7</v>
      </c>
      <c r="I184">
        <v>141.30000000000001</v>
      </c>
      <c r="J184">
        <v>151.6</v>
      </c>
      <c r="K184">
        <v>127.3</v>
      </c>
      <c r="L184">
        <v>118.8</v>
      </c>
      <c r="M184">
        <v>137.5</v>
      </c>
      <c r="N184">
        <v>129</v>
      </c>
      <c r="O184">
        <v>149.5</v>
      </c>
      <c r="P184" s="1">
        <f t="shared" si="10"/>
        <v>1650.9</v>
      </c>
      <c r="Q184">
        <v>139.19999999999999</v>
      </c>
      <c r="R184">
        <v>154.69999999999999</v>
      </c>
      <c r="S184" s="1">
        <f t="shared" si="11"/>
        <v>540.69999999999993</v>
      </c>
      <c r="T184">
        <v>143.5</v>
      </c>
      <c r="U184">
        <v>135.5</v>
      </c>
      <c r="V184" s="1">
        <f t="shared" si="12"/>
        <v>421.3</v>
      </c>
      <c r="W184">
        <v>142.30000000000001</v>
      </c>
      <c r="X184">
        <v>140.4</v>
      </c>
      <c r="Y184" s="1">
        <f t="shared" si="13"/>
        <v>275.3</v>
      </c>
      <c r="Z184">
        <v>136.6</v>
      </c>
      <c r="AA184">
        <v>134.9</v>
      </c>
      <c r="AB184">
        <v>133.30000000000001</v>
      </c>
      <c r="AC184">
        <v>119.3</v>
      </c>
      <c r="AD184">
        <v>129.69999999999999</v>
      </c>
      <c r="AE184">
        <v>139</v>
      </c>
      <c r="AF184">
        <v>127.3</v>
      </c>
      <c r="AG184">
        <v>129.1</v>
      </c>
      <c r="AH184">
        <v>136.9</v>
      </c>
      <c r="AI184">
        <f>SUM('Cleaned Data'!AC184,'Cleaned Data'!AE184,'Cleaned Data'!Z184,'Cleaned Data'!AA184)</f>
        <v>529.79999999999995</v>
      </c>
      <c r="AJ184" s="1">
        <f t="shared" si="14"/>
        <v>132.45000000000002</v>
      </c>
    </row>
    <row r="185" spans="1:36">
      <c r="A185" t="s">
        <v>93</v>
      </c>
      <c r="B185">
        <v>2018</v>
      </c>
      <c r="C185" t="s">
        <v>14</v>
      </c>
      <c r="D185">
        <v>136.4</v>
      </c>
      <c r="E185">
        <v>143.69999999999999</v>
      </c>
      <c r="F185">
        <v>140.6</v>
      </c>
      <c r="G185">
        <v>141.5</v>
      </c>
      <c r="H185">
        <v>122.9</v>
      </c>
      <c r="I185">
        <v>149.4</v>
      </c>
      <c r="J185">
        <v>142.4</v>
      </c>
      <c r="K185">
        <v>130.19999999999999</v>
      </c>
      <c r="L185">
        <v>117.9</v>
      </c>
      <c r="M185">
        <v>135.6</v>
      </c>
      <c r="N185">
        <v>130.5</v>
      </c>
      <c r="O185">
        <v>151.69999999999999</v>
      </c>
      <c r="P185" s="1">
        <f t="shared" si="10"/>
        <v>1651</v>
      </c>
      <c r="Q185">
        <v>138.69999999999999</v>
      </c>
      <c r="R185">
        <v>153.30000000000001</v>
      </c>
      <c r="S185" s="1">
        <f t="shared" si="11"/>
        <v>546.90000000000009</v>
      </c>
      <c r="T185">
        <v>148.69999999999999</v>
      </c>
      <c r="U185">
        <v>142.4</v>
      </c>
      <c r="V185" s="1">
        <f t="shared" si="12"/>
        <v>438.90000000000003</v>
      </c>
      <c r="W185">
        <v>147.80000000000001</v>
      </c>
      <c r="X185">
        <v>141.30000000000001</v>
      </c>
      <c r="Y185" s="1">
        <f t="shared" si="13"/>
        <v>281.20000000000005</v>
      </c>
      <c r="Z185">
        <v>142.4</v>
      </c>
      <c r="AA185">
        <v>139.9</v>
      </c>
      <c r="AB185">
        <v>136.19999999999999</v>
      </c>
      <c r="AC185">
        <v>123.3</v>
      </c>
      <c r="AD185">
        <v>134.30000000000001</v>
      </c>
      <c r="AE185">
        <v>141.5</v>
      </c>
      <c r="AF185">
        <v>128.80000000000001</v>
      </c>
      <c r="AG185">
        <v>132.5</v>
      </c>
      <c r="AH185">
        <v>138.5</v>
      </c>
      <c r="AI185">
        <f>SUM('Cleaned Data'!AC185,'Cleaned Data'!AE185,'Cleaned Data'!Z185,'Cleaned Data'!AA185)</f>
        <v>547.1</v>
      </c>
      <c r="AJ185" s="1">
        <f t="shared" si="14"/>
        <v>136.77500000000001</v>
      </c>
    </row>
    <row r="186" spans="1:36">
      <c r="A186" t="s">
        <v>94</v>
      </c>
      <c r="B186">
        <v>2018</v>
      </c>
      <c r="C186" t="s">
        <v>14</v>
      </c>
      <c r="D186">
        <v>134.80000000000001</v>
      </c>
      <c r="E186">
        <v>143</v>
      </c>
      <c r="F186">
        <v>139.9</v>
      </c>
      <c r="G186">
        <v>139.9</v>
      </c>
      <c r="H186">
        <v>116.2</v>
      </c>
      <c r="I186">
        <v>135.5</v>
      </c>
      <c r="J186">
        <v>136.9</v>
      </c>
      <c r="K186">
        <v>117</v>
      </c>
      <c r="L186">
        <v>115.4</v>
      </c>
      <c r="M186">
        <v>140.69999999999999</v>
      </c>
      <c r="N186">
        <v>125.9</v>
      </c>
      <c r="O186">
        <v>147.1</v>
      </c>
      <c r="P186" s="1">
        <f t="shared" si="10"/>
        <v>1602</v>
      </c>
      <c r="Q186">
        <v>135.6</v>
      </c>
      <c r="R186">
        <v>159.30000000000001</v>
      </c>
      <c r="S186" s="1">
        <f t="shared" si="11"/>
        <v>537.90000000000009</v>
      </c>
      <c r="T186">
        <v>136.30000000000001</v>
      </c>
      <c r="U186">
        <v>126.1</v>
      </c>
      <c r="V186" s="1">
        <f t="shared" si="12"/>
        <v>397.09999999999997</v>
      </c>
      <c r="W186">
        <v>134.69999999999999</v>
      </c>
      <c r="X186">
        <v>141.30000000000001</v>
      </c>
      <c r="Y186" s="1">
        <f t="shared" si="13"/>
        <v>271.20000000000005</v>
      </c>
      <c r="Z186">
        <v>127.3</v>
      </c>
      <c r="AA186">
        <v>129.9</v>
      </c>
      <c r="AB186">
        <v>129.80000000000001</v>
      </c>
      <c r="AC186">
        <v>117.4</v>
      </c>
      <c r="AD186">
        <v>126.5</v>
      </c>
      <c r="AE186">
        <v>137.19999999999999</v>
      </c>
      <c r="AF186">
        <v>126.2</v>
      </c>
      <c r="AG186">
        <v>126.5</v>
      </c>
      <c r="AH186">
        <v>134</v>
      </c>
      <c r="AI186">
        <f>SUM('Cleaned Data'!AC186,'Cleaned Data'!AE186,'Cleaned Data'!Z186,'Cleaned Data'!AA186)</f>
        <v>511.79999999999995</v>
      </c>
      <c r="AJ186" s="1">
        <f t="shared" si="14"/>
        <v>127.95</v>
      </c>
    </row>
    <row r="187" spans="1:36">
      <c r="A187" t="s">
        <v>6</v>
      </c>
      <c r="B187">
        <v>2018</v>
      </c>
      <c r="C187" t="s">
        <v>14</v>
      </c>
      <c r="D187">
        <v>135.9</v>
      </c>
      <c r="E187">
        <v>143.5</v>
      </c>
      <c r="F187">
        <v>140.30000000000001</v>
      </c>
      <c r="G187">
        <v>140.9</v>
      </c>
      <c r="H187">
        <v>120.4</v>
      </c>
      <c r="I187">
        <v>142.9</v>
      </c>
      <c r="J187">
        <v>140.5</v>
      </c>
      <c r="K187">
        <v>125.8</v>
      </c>
      <c r="L187">
        <v>117.1</v>
      </c>
      <c r="M187">
        <v>137.30000000000001</v>
      </c>
      <c r="N187">
        <v>128.6</v>
      </c>
      <c r="O187">
        <v>149.6</v>
      </c>
      <c r="P187" s="1">
        <f t="shared" si="10"/>
        <v>1631.8</v>
      </c>
      <c r="Q187">
        <v>137.6</v>
      </c>
      <c r="R187">
        <v>154.9</v>
      </c>
      <c r="S187" s="1">
        <f t="shared" si="11"/>
        <v>541.1</v>
      </c>
      <c r="T187">
        <v>143.80000000000001</v>
      </c>
      <c r="U187">
        <v>135.6</v>
      </c>
      <c r="V187" s="1">
        <f t="shared" si="12"/>
        <v>422</v>
      </c>
      <c r="W187">
        <v>142.6</v>
      </c>
      <c r="X187">
        <v>141.30000000000001</v>
      </c>
      <c r="Y187" s="1">
        <f t="shared" si="13"/>
        <v>276.5</v>
      </c>
      <c r="Z187">
        <v>136.69999999999999</v>
      </c>
      <c r="AA187">
        <v>135.19999999999999</v>
      </c>
      <c r="AB187">
        <v>133.80000000000001</v>
      </c>
      <c r="AC187">
        <v>120.2</v>
      </c>
      <c r="AD187">
        <v>129.9</v>
      </c>
      <c r="AE187">
        <v>139</v>
      </c>
      <c r="AF187">
        <v>127.7</v>
      </c>
      <c r="AG187">
        <v>129.6</v>
      </c>
      <c r="AH187">
        <v>136.4</v>
      </c>
      <c r="AI187">
        <f>SUM('Cleaned Data'!AC187,'Cleaned Data'!AE187,'Cleaned Data'!Z187,'Cleaned Data'!AA187)</f>
        <v>531.09999999999991</v>
      </c>
      <c r="AJ187" s="1">
        <f t="shared" si="14"/>
        <v>132.77499999999998</v>
      </c>
    </row>
    <row r="188" spans="1:36">
      <c r="A188" t="s">
        <v>93</v>
      </c>
      <c r="B188">
        <v>2018</v>
      </c>
      <c r="C188" t="s">
        <v>17</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s="1">
        <f t="shared" si="10"/>
        <v>1650.7999999999997</v>
      </c>
      <c r="Q188">
        <v>138.6</v>
      </c>
      <c r="R188">
        <v>155.1</v>
      </c>
      <c r="S188" s="1">
        <f t="shared" si="11"/>
        <v>550.70000000000005</v>
      </c>
      <c r="T188">
        <v>149.19999999999999</v>
      </c>
      <c r="U188">
        <v>143</v>
      </c>
      <c r="V188" s="1">
        <f t="shared" si="12"/>
        <v>440.5</v>
      </c>
      <c r="W188">
        <v>148.30000000000001</v>
      </c>
      <c r="X188">
        <v>142</v>
      </c>
      <c r="Y188" s="1">
        <f t="shared" si="13"/>
        <v>281.89999999999998</v>
      </c>
      <c r="Z188">
        <v>142.6</v>
      </c>
      <c r="AA188">
        <v>139.9</v>
      </c>
      <c r="AB188">
        <v>136.69999999999999</v>
      </c>
      <c r="AC188">
        <v>124.6</v>
      </c>
      <c r="AD188">
        <v>135.1</v>
      </c>
      <c r="AE188">
        <v>142.69999999999999</v>
      </c>
      <c r="AF188">
        <v>129.30000000000001</v>
      </c>
      <c r="AG188">
        <v>133.30000000000001</v>
      </c>
      <c r="AH188">
        <v>138.69999999999999</v>
      </c>
      <c r="AI188">
        <f>SUM('Cleaned Data'!AC188,'Cleaned Data'!AE188,'Cleaned Data'!Z188,'Cleaned Data'!AA188)</f>
        <v>549.79999999999995</v>
      </c>
      <c r="AJ188" s="1">
        <f t="shared" si="14"/>
        <v>137.44999999999999</v>
      </c>
    </row>
    <row r="189" spans="1:36">
      <c r="A189" t="s">
        <v>94</v>
      </c>
      <c r="B189">
        <v>2018</v>
      </c>
      <c r="C189" t="s">
        <v>17</v>
      </c>
      <c r="D189">
        <v>135</v>
      </c>
      <c r="E189">
        <v>143.1</v>
      </c>
      <c r="F189">
        <v>135.5</v>
      </c>
      <c r="G189">
        <v>139.9</v>
      </c>
      <c r="H189">
        <v>116.5</v>
      </c>
      <c r="I189">
        <v>138.5</v>
      </c>
      <c r="J189">
        <v>128</v>
      </c>
      <c r="K189">
        <v>115.5</v>
      </c>
      <c r="L189">
        <v>114.2</v>
      </c>
      <c r="M189">
        <v>140.69999999999999</v>
      </c>
      <c r="N189">
        <v>126.2</v>
      </c>
      <c r="O189">
        <v>147.6</v>
      </c>
      <c r="P189" s="1">
        <f t="shared" si="10"/>
        <v>1589.3</v>
      </c>
      <c r="Q189">
        <v>134.80000000000001</v>
      </c>
      <c r="R189">
        <v>159.69999999999999</v>
      </c>
      <c r="S189" s="1">
        <f t="shared" si="11"/>
        <v>539.4</v>
      </c>
      <c r="T189">
        <v>136.69999999999999</v>
      </c>
      <c r="U189">
        <v>126.7</v>
      </c>
      <c r="V189" s="1">
        <f t="shared" si="12"/>
        <v>398.59999999999997</v>
      </c>
      <c r="W189">
        <v>135.19999999999999</v>
      </c>
      <c r="X189">
        <v>142</v>
      </c>
      <c r="Y189" s="1">
        <f t="shared" si="13"/>
        <v>272.8</v>
      </c>
      <c r="Z189">
        <v>126.4</v>
      </c>
      <c r="AA189">
        <v>130.80000000000001</v>
      </c>
      <c r="AB189">
        <v>130.5</v>
      </c>
      <c r="AC189">
        <v>117.8</v>
      </c>
      <c r="AD189">
        <v>126.8</v>
      </c>
      <c r="AE189">
        <v>137.80000000000001</v>
      </c>
      <c r="AF189">
        <v>126.7</v>
      </c>
      <c r="AG189">
        <v>127.1</v>
      </c>
      <c r="AH189">
        <v>134</v>
      </c>
      <c r="AI189">
        <f>SUM('Cleaned Data'!AC189,'Cleaned Data'!AE189,'Cleaned Data'!Z189,'Cleaned Data'!AA189)</f>
        <v>512.79999999999995</v>
      </c>
      <c r="AJ189" s="1">
        <f t="shared" si="14"/>
        <v>128.20000000000002</v>
      </c>
    </row>
    <row r="190" spans="1:36">
      <c r="A190" t="s">
        <v>6</v>
      </c>
      <c r="B190">
        <v>2018</v>
      </c>
      <c r="C190" t="s">
        <v>17</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s="1">
        <f t="shared" si="10"/>
        <v>1626.9</v>
      </c>
      <c r="Q190">
        <v>137.19999999999999</v>
      </c>
      <c r="R190">
        <v>156.30000000000001</v>
      </c>
      <c r="S190" s="1">
        <f t="shared" si="11"/>
        <v>544</v>
      </c>
      <c r="T190">
        <v>144.30000000000001</v>
      </c>
      <c r="U190">
        <v>136.19999999999999</v>
      </c>
      <c r="V190" s="1">
        <f t="shared" si="12"/>
        <v>423.6</v>
      </c>
      <c r="W190">
        <v>143.1</v>
      </c>
      <c r="X190">
        <v>142</v>
      </c>
      <c r="Y190" s="1">
        <f t="shared" si="13"/>
        <v>277.60000000000002</v>
      </c>
      <c r="Z190">
        <v>136.5</v>
      </c>
      <c r="AA190">
        <v>135.6</v>
      </c>
      <c r="AB190">
        <v>134.30000000000001</v>
      </c>
      <c r="AC190">
        <v>121</v>
      </c>
      <c r="AD190">
        <v>130.4</v>
      </c>
      <c r="AE190">
        <v>139.80000000000001</v>
      </c>
      <c r="AF190">
        <v>128.19999999999999</v>
      </c>
      <c r="AG190">
        <v>130.30000000000001</v>
      </c>
      <c r="AH190">
        <v>136.5</v>
      </c>
      <c r="AI190">
        <f>SUM('Cleaned Data'!AC190,'Cleaned Data'!AE190,'Cleaned Data'!Z190,'Cleaned Data'!AA190)</f>
        <v>532.9</v>
      </c>
      <c r="AJ190" s="1">
        <f t="shared" si="14"/>
        <v>133.22499999999999</v>
      </c>
    </row>
    <row r="191" spans="1:36">
      <c r="A191" t="s">
        <v>93</v>
      </c>
      <c r="B191">
        <v>2018</v>
      </c>
      <c r="C191" t="s">
        <v>19</v>
      </c>
      <c r="D191">
        <v>137.1</v>
      </c>
      <c r="E191">
        <v>144.5</v>
      </c>
      <c r="F191">
        <v>135.9</v>
      </c>
      <c r="G191">
        <v>142.4</v>
      </c>
      <c r="H191">
        <v>123.5</v>
      </c>
      <c r="I191">
        <v>156.4</v>
      </c>
      <c r="J191">
        <v>135.1</v>
      </c>
      <c r="K191">
        <v>128.4</v>
      </c>
      <c r="L191">
        <v>115.2</v>
      </c>
      <c r="M191">
        <v>137.19999999999999</v>
      </c>
      <c r="N191">
        <v>131.9</v>
      </c>
      <c r="O191">
        <v>153.80000000000001</v>
      </c>
      <c r="P191" s="1">
        <f t="shared" si="10"/>
        <v>1648.1</v>
      </c>
      <c r="Q191">
        <v>138.6</v>
      </c>
      <c r="R191">
        <v>156.1</v>
      </c>
      <c r="S191" s="1">
        <f t="shared" si="11"/>
        <v>554.4</v>
      </c>
      <c r="T191">
        <v>150.1</v>
      </c>
      <c r="U191">
        <v>143.30000000000001</v>
      </c>
      <c r="V191" s="1">
        <f t="shared" si="12"/>
        <v>442.5</v>
      </c>
      <c r="W191">
        <v>149.1</v>
      </c>
      <c r="X191">
        <v>142.9</v>
      </c>
      <c r="Y191" s="1">
        <f t="shared" si="13"/>
        <v>283.8</v>
      </c>
      <c r="Z191">
        <v>143.80000000000001</v>
      </c>
      <c r="AA191">
        <v>140.9</v>
      </c>
      <c r="AB191">
        <v>137.6</v>
      </c>
      <c r="AC191">
        <v>125.3</v>
      </c>
      <c r="AD191">
        <v>136</v>
      </c>
      <c r="AE191">
        <v>143.69999999999999</v>
      </c>
      <c r="AF191">
        <v>130.4</v>
      </c>
      <c r="AG191">
        <v>134.19999999999999</v>
      </c>
      <c r="AH191">
        <v>139.1</v>
      </c>
      <c r="AI191">
        <f>SUM('Cleaned Data'!AC191,'Cleaned Data'!AE191,'Cleaned Data'!Z191,'Cleaned Data'!AA191)</f>
        <v>553.70000000000005</v>
      </c>
      <c r="AJ191" s="1">
        <f t="shared" si="14"/>
        <v>138.42500000000001</v>
      </c>
    </row>
    <row r="192" spans="1:36">
      <c r="A192" t="s">
        <v>94</v>
      </c>
      <c r="B192">
        <v>2018</v>
      </c>
      <c r="C192" t="s">
        <v>19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s="1">
        <f t="shared" si="10"/>
        <v>1593.5</v>
      </c>
      <c r="Q192">
        <v>135.69999999999999</v>
      </c>
      <c r="R192">
        <v>159.19999999999999</v>
      </c>
      <c r="S192" s="1">
        <f t="shared" si="11"/>
        <v>540.9</v>
      </c>
      <c r="T192">
        <v>137.80000000000001</v>
      </c>
      <c r="U192">
        <v>127.4</v>
      </c>
      <c r="V192" s="1">
        <f t="shared" si="12"/>
        <v>401.40000000000003</v>
      </c>
      <c r="W192">
        <v>136.19999999999999</v>
      </c>
      <c r="X192">
        <v>142.9</v>
      </c>
      <c r="Y192" s="1">
        <f t="shared" si="13"/>
        <v>274.70000000000005</v>
      </c>
      <c r="Z192">
        <v>124.6</v>
      </c>
      <c r="AA192">
        <v>131.80000000000001</v>
      </c>
      <c r="AB192">
        <v>131.30000000000001</v>
      </c>
      <c r="AC192">
        <v>118.9</v>
      </c>
      <c r="AD192">
        <v>127.6</v>
      </c>
      <c r="AE192">
        <v>139.69999999999999</v>
      </c>
      <c r="AF192">
        <v>127.6</v>
      </c>
      <c r="AG192">
        <v>128.19999999999999</v>
      </c>
      <c r="AH192">
        <v>134.80000000000001</v>
      </c>
      <c r="AI192">
        <f>SUM('Cleaned Data'!AC192,'Cleaned Data'!AE192,'Cleaned Data'!Z192,'Cleaned Data'!AA192)</f>
        <v>515</v>
      </c>
      <c r="AJ192" s="1">
        <f t="shared" si="14"/>
        <v>128.75</v>
      </c>
    </row>
    <row r="193" spans="1:36">
      <c r="A193" t="s">
        <v>6</v>
      </c>
      <c r="B193">
        <v>2018</v>
      </c>
      <c r="C193" t="s">
        <v>19</v>
      </c>
      <c r="D193">
        <v>136.4</v>
      </c>
      <c r="E193">
        <v>144.4</v>
      </c>
      <c r="F193">
        <v>133.9</v>
      </c>
      <c r="G193">
        <v>141.6</v>
      </c>
      <c r="H193">
        <v>121</v>
      </c>
      <c r="I193">
        <v>153.5</v>
      </c>
      <c r="J193">
        <v>132.6</v>
      </c>
      <c r="K193">
        <v>123.5</v>
      </c>
      <c r="L193">
        <v>113.7</v>
      </c>
      <c r="M193">
        <v>138.19999999999999</v>
      </c>
      <c r="N193">
        <v>129.6</v>
      </c>
      <c r="O193">
        <v>151.19999999999999</v>
      </c>
      <c r="P193" s="1">
        <f t="shared" si="10"/>
        <v>1627.5000000000002</v>
      </c>
      <c r="Q193">
        <v>137.5</v>
      </c>
      <c r="R193">
        <v>156.9</v>
      </c>
      <c r="S193" s="1">
        <f t="shared" si="11"/>
        <v>547</v>
      </c>
      <c r="T193">
        <v>145.30000000000001</v>
      </c>
      <c r="U193">
        <v>136.69999999999999</v>
      </c>
      <c r="V193" s="1">
        <f t="shared" si="12"/>
        <v>426</v>
      </c>
      <c r="W193">
        <v>144</v>
      </c>
      <c r="X193">
        <v>142.9</v>
      </c>
      <c r="Y193" s="1">
        <f t="shared" si="13"/>
        <v>279.5</v>
      </c>
      <c r="Z193">
        <v>136.5</v>
      </c>
      <c r="AA193">
        <v>136.6</v>
      </c>
      <c r="AB193">
        <v>135.19999999999999</v>
      </c>
      <c r="AC193">
        <v>121.9</v>
      </c>
      <c r="AD193">
        <v>131.30000000000001</v>
      </c>
      <c r="AE193">
        <v>141.4</v>
      </c>
      <c r="AF193">
        <v>129.19999999999999</v>
      </c>
      <c r="AG193">
        <v>131.30000000000001</v>
      </c>
      <c r="AH193">
        <v>137.1</v>
      </c>
      <c r="AI193">
        <f>SUM('Cleaned Data'!AC193,'Cleaned Data'!AE193,'Cleaned Data'!Z193,'Cleaned Data'!AA193)</f>
        <v>536.4</v>
      </c>
      <c r="AJ193" s="1">
        <f t="shared" si="14"/>
        <v>134.1</v>
      </c>
    </row>
    <row r="194" spans="1:36">
      <c r="A194" t="s">
        <v>93</v>
      </c>
      <c r="B194">
        <v>2018</v>
      </c>
      <c r="C194" t="s">
        <v>21</v>
      </c>
      <c r="D194">
        <v>137.4</v>
      </c>
      <c r="E194">
        <v>145.69999999999999</v>
      </c>
      <c r="F194">
        <v>135.5</v>
      </c>
      <c r="G194">
        <v>142.9</v>
      </c>
      <c r="H194">
        <v>123.6</v>
      </c>
      <c r="I194">
        <v>157.5</v>
      </c>
      <c r="J194">
        <v>137.80000000000001</v>
      </c>
      <c r="K194">
        <v>127.2</v>
      </c>
      <c r="L194">
        <v>111.8</v>
      </c>
      <c r="M194">
        <v>137.4</v>
      </c>
      <c r="N194">
        <v>132.19999999999999</v>
      </c>
      <c r="O194">
        <v>154.30000000000001</v>
      </c>
      <c r="P194" s="1">
        <f t="shared" si="10"/>
        <v>1650.2</v>
      </c>
      <c r="Q194">
        <v>139.1</v>
      </c>
      <c r="R194">
        <v>157</v>
      </c>
      <c r="S194" s="1">
        <f t="shared" si="11"/>
        <v>557.20000000000005</v>
      </c>
      <c r="T194">
        <v>150.80000000000001</v>
      </c>
      <c r="U194">
        <v>144.1</v>
      </c>
      <c r="V194" s="1">
        <f t="shared" si="12"/>
        <v>444.7</v>
      </c>
      <c r="W194">
        <v>149.80000000000001</v>
      </c>
      <c r="X194">
        <v>143.19999999999999</v>
      </c>
      <c r="Y194" s="1">
        <f t="shared" si="13"/>
        <v>285</v>
      </c>
      <c r="Z194">
        <v>144.30000000000001</v>
      </c>
      <c r="AA194">
        <v>141.80000000000001</v>
      </c>
      <c r="AB194">
        <v>138.4</v>
      </c>
      <c r="AC194">
        <v>126.4</v>
      </c>
      <c r="AD194">
        <v>136.80000000000001</v>
      </c>
      <c r="AE194">
        <v>144.4</v>
      </c>
      <c r="AF194">
        <v>131.19999999999999</v>
      </c>
      <c r="AG194">
        <v>135.1</v>
      </c>
      <c r="AH194">
        <v>139.80000000000001</v>
      </c>
      <c r="AI194">
        <f>SUM('Cleaned Data'!AC194,'Cleaned Data'!AE194,'Cleaned Data'!Z194,'Cleaned Data'!AA194)</f>
        <v>556.90000000000009</v>
      </c>
      <c r="AJ194" s="1">
        <f t="shared" si="14"/>
        <v>139.22500000000002</v>
      </c>
    </row>
    <row r="195" spans="1:36">
      <c r="A195" t="s">
        <v>94</v>
      </c>
      <c r="B195">
        <v>2018</v>
      </c>
      <c r="C195" t="s">
        <v>21</v>
      </c>
      <c r="D195">
        <v>135</v>
      </c>
      <c r="E195">
        <v>148.19999999999999</v>
      </c>
      <c r="F195">
        <v>130.5</v>
      </c>
      <c r="G195">
        <v>140.69999999999999</v>
      </c>
      <c r="H195">
        <v>116.4</v>
      </c>
      <c r="I195">
        <v>151.30000000000001</v>
      </c>
      <c r="J195">
        <v>131.4</v>
      </c>
      <c r="K195">
        <v>112.8</v>
      </c>
      <c r="L195">
        <v>105.3</v>
      </c>
      <c r="M195">
        <v>139.6</v>
      </c>
      <c r="N195">
        <v>126.6</v>
      </c>
      <c r="O195">
        <v>148.69999999999999</v>
      </c>
      <c r="P195" s="1">
        <f t="shared" ref="P195:P258" si="15">SUM(O195,M195,L195,K195,J195,I195,H195,G195,F195,E195,D195,Q195)</f>
        <v>1596.3</v>
      </c>
      <c r="Q195">
        <v>136.4</v>
      </c>
      <c r="R195">
        <v>160.30000000000001</v>
      </c>
      <c r="S195" s="1">
        <f t="shared" ref="S195:S258" si="16">SUM(R195,N195,AD195,AF195)</f>
        <v>543</v>
      </c>
      <c r="T195">
        <v>138.6</v>
      </c>
      <c r="U195">
        <v>127.9</v>
      </c>
      <c r="V195" s="1">
        <f t="shared" ref="V195:V258" si="17">SUM(U195,T195,W195)</f>
        <v>403.5</v>
      </c>
      <c r="W195">
        <v>137</v>
      </c>
      <c r="X195">
        <v>143.19999999999999</v>
      </c>
      <c r="Y195" s="1">
        <f t="shared" ref="Y195:Y258" si="18">SUM(X195,AA195)</f>
        <v>275.7</v>
      </c>
      <c r="Z195">
        <v>124.7</v>
      </c>
      <c r="AA195">
        <v>132.5</v>
      </c>
      <c r="AB195">
        <v>132</v>
      </c>
      <c r="AC195">
        <v>119.8</v>
      </c>
      <c r="AD195">
        <v>128</v>
      </c>
      <c r="AE195">
        <v>140.4</v>
      </c>
      <c r="AF195">
        <v>128.1</v>
      </c>
      <c r="AG195">
        <v>128.9</v>
      </c>
      <c r="AH195">
        <v>135.4</v>
      </c>
      <c r="AI195">
        <f>SUM('Cleaned Data'!AC195,'Cleaned Data'!AE195,'Cleaned Data'!Z195,'Cleaned Data'!AA195)</f>
        <v>517.4</v>
      </c>
      <c r="AJ195" s="1">
        <f t="shared" ref="AJ195:AJ258" si="19">AVERAGE(AE195,AC195,AA195,Z195)</f>
        <v>129.35</v>
      </c>
    </row>
    <row r="196" spans="1:36">
      <c r="A196" t="s">
        <v>6</v>
      </c>
      <c r="B196">
        <v>2018</v>
      </c>
      <c r="C196" t="s">
        <v>21</v>
      </c>
      <c r="D196">
        <v>136.6</v>
      </c>
      <c r="E196">
        <v>146.6</v>
      </c>
      <c r="F196">
        <v>133.6</v>
      </c>
      <c r="G196">
        <v>142.1</v>
      </c>
      <c r="H196">
        <v>121</v>
      </c>
      <c r="I196">
        <v>154.6</v>
      </c>
      <c r="J196">
        <v>135.6</v>
      </c>
      <c r="K196">
        <v>122.3</v>
      </c>
      <c r="L196">
        <v>109.6</v>
      </c>
      <c r="M196">
        <v>138.1</v>
      </c>
      <c r="N196">
        <v>129.9</v>
      </c>
      <c r="O196">
        <v>151.69999999999999</v>
      </c>
      <c r="P196" s="1">
        <f t="shared" si="15"/>
        <v>1629.8999999999996</v>
      </c>
      <c r="Q196">
        <v>138.1</v>
      </c>
      <c r="R196">
        <v>157.9</v>
      </c>
      <c r="S196" s="1">
        <f t="shared" si="16"/>
        <v>549.5</v>
      </c>
      <c r="T196">
        <v>146</v>
      </c>
      <c r="U196">
        <v>137.4</v>
      </c>
      <c r="V196" s="1">
        <f t="shared" si="17"/>
        <v>428.09999999999997</v>
      </c>
      <c r="W196">
        <v>144.69999999999999</v>
      </c>
      <c r="X196">
        <v>143.19999999999999</v>
      </c>
      <c r="Y196" s="1">
        <f t="shared" si="18"/>
        <v>280.60000000000002</v>
      </c>
      <c r="Z196">
        <v>136.9</v>
      </c>
      <c r="AA196">
        <v>137.4</v>
      </c>
      <c r="AB196">
        <v>136</v>
      </c>
      <c r="AC196">
        <v>122.9</v>
      </c>
      <c r="AD196">
        <v>131.80000000000001</v>
      </c>
      <c r="AE196">
        <v>142.1</v>
      </c>
      <c r="AF196">
        <v>129.9</v>
      </c>
      <c r="AG196">
        <v>132.1</v>
      </c>
      <c r="AH196">
        <v>137.80000000000001</v>
      </c>
      <c r="AI196">
        <f>SUM('Cleaned Data'!AC196,'Cleaned Data'!AE196,'Cleaned Data'!Z196,'Cleaned Data'!AA196)</f>
        <v>539.29999999999995</v>
      </c>
      <c r="AJ196" s="1">
        <f t="shared" si="19"/>
        <v>134.82499999999999</v>
      </c>
    </row>
    <row r="197" spans="1:36">
      <c r="A197" t="s">
        <v>93</v>
      </c>
      <c r="B197">
        <v>2018</v>
      </c>
      <c r="C197" t="s">
        <v>23</v>
      </c>
      <c r="D197">
        <v>137.6</v>
      </c>
      <c r="E197">
        <v>148.1</v>
      </c>
      <c r="F197">
        <v>136.69999999999999</v>
      </c>
      <c r="G197">
        <v>143.19999999999999</v>
      </c>
      <c r="H197">
        <v>124</v>
      </c>
      <c r="I197">
        <v>154.1</v>
      </c>
      <c r="J197">
        <v>143.5</v>
      </c>
      <c r="K197">
        <v>126</v>
      </c>
      <c r="L197">
        <v>112.4</v>
      </c>
      <c r="M197">
        <v>137.6</v>
      </c>
      <c r="N197">
        <v>132.80000000000001</v>
      </c>
      <c r="O197">
        <v>154.30000000000001</v>
      </c>
      <c r="P197" s="1">
        <f t="shared" si="15"/>
        <v>1657.4999999999998</v>
      </c>
      <c r="Q197">
        <v>140</v>
      </c>
      <c r="R197">
        <v>157.30000000000001</v>
      </c>
      <c r="S197" s="1">
        <f t="shared" si="16"/>
        <v>559.30000000000007</v>
      </c>
      <c r="T197">
        <v>151.30000000000001</v>
      </c>
      <c r="U197">
        <v>144.69999999999999</v>
      </c>
      <c r="V197" s="1">
        <f t="shared" si="17"/>
        <v>446.3</v>
      </c>
      <c r="W197">
        <v>150.30000000000001</v>
      </c>
      <c r="X197">
        <v>142.5</v>
      </c>
      <c r="Y197" s="1">
        <f t="shared" si="18"/>
        <v>284.7</v>
      </c>
      <c r="Z197">
        <v>145.1</v>
      </c>
      <c r="AA197">
        <v>142.19999999999999</v>
      </c>
      <c r="AB197">
        <v>138.4</v>
      </c>
      <c r="AC197">
        <v>127.4</v>
      </c>
      <c r="AD197">
        <v>137.80000000000001</v>
      </c>
      <c r="AE197">
        <v>145.1</v>
      </c>
      <c r="AF197">
        <v>131.4</v>
      </c>
      <c r="AG197">
        <v>135.6</v>
      </c>
      <c r="AH197">
        <v>140.5</v>
      </c>
      <c r="AI197">
        <f>SUM('Cleaned Data'!AC197,'Cleaned Data'!AE197,'Cleaned Data'!Z197,'Cleaned Data'!AA197)</f>
        <v>559.79999999999995</v>
      </c>
      <c r="AJ197" s="1">
        <f t="shared" si="19"/>
        <v>139.94999999999999</v>
      </c>
    </row>
    <row r="198" spans="1:36">
      <c r="A198" t="s">
        <v>94</v>
      </c>
      <c r="B198">
        <v>2018</v>
      </c>
      <c r="C198" t="s">
        <v>23</v>
      </c>
      <c r="D198">
        <v>135.30000000000001</v>
      </c>
      <c r="E198">
        <v>149.69999999999999</v>
      </c>
      <c r="F198">
        <v>133.9</v>
      </c>
      <c r="G198">
        <v>140.80000000000001</v>
      </c>
      <c r="H198">
        <v>116.6</v>
      </c>
      <c r="I198">
        <v>152.19999999999999</v>
      </c>
      <c r="J198">
        <v>144</v>
      </c>
      <c r="K198">
        <v>112.3</v>
      </c>
      <c r="L198">
        <v>108.4</v>
      </c>
      <c r="M198">
        <v>140</v>
      </c>
      <c r="N198">
        <v>126.7</v>
      </c>
      <c r="O198">
        <v>149</v>
      </c>
      <c r="P198" s="1">
        <f t="shared" si="15"/>
        <v>1620.6000000000004</v>
      </c>
      <c r="Q198">
        <v>138.4</v>
      </c>
      <c r="R198">
        <v>161</v>
      </c>
      <c r="S198" s="1">
        <f t="shared" si="16"/>
        <v>544.4</v>
      </c>
      <c r="T198">
        <v>138.9</v>
      </c>
      <c r="U198">
        <v>128.69999999999999</v>
      </c>
      <c r="V198" s="1">
        <f t="shared" si="17"/>
        <v>405</v>
      </c>
      <c r="W198">
        <v>137.4</v>
      </c>
      <c r="X198">
        <v>142.5</v>
      </c>
      <c r="Y198" s="1">
        <f t="shared" si="18"/>
        <v>275.60000000000002</v>
      </c>
      <c r="Z198">
        <v>126.5</v>
      </c>
      <c r="AA198">
        <v>133.1</v>
      </c>
      <c r="AB198">
        <v>132.6</v>
      </c>
      <c r="AC198">
        <v>120.4</v>
      </c>
      <c r="AD198">
        <v>128.5</v>
      </c>
      <c r="AE198">
        <v>141.19999999999999</v>
      </c>
      <c r="AF198">
        <v>128.19999999999999</v>
      </c>
      <c r="AG198">
        <v>129.5</v>
      </c>
      <c r="AH198">
        <v>136.19999999999999</v>
      </c>
      <c r="AI198">
        <f>SUM('Cleaned Data'!AC198,'Cleaned Data'!AE198,'Cleaned Data'!Z198,'Cleaned Data'!AA198)</f>
        <v>521.20000000000005</v>
      </c>
      <c r="AJ198" s="1">
        <f t="shared" si="19"/>
        <v>130.30000000000001</v>
      </c>
    </row>
    <row r="199" spans="1:36">
      <c r="A199" t="s">
        <v>6</v>
      </c>
      <c r="B199">
        <v>2018</v>
      </c>
      <c r="C199" t="s">
        <v>23</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s="1">
        <f t="shared" si="15"/>
        <v>1643.8000000000002</v>
      </c>
      <c r="Q199">
        <v>139.4</v>
      </c>
      <c r="R199">
        <v>158.30000000000001</v>
      </c>
      <c r="S199" s="1">
        <f t="shared" si="16"/>
        <v>551.30000000000007</v>
      </c>
      <c r="T199">
        <v>146.4</v>
      </c>
      <c r="U199">
        <v>138.1</v>
      </c>
      <c r="V199" s="1">
        <f t="shared" si="17"/>
        <v>429.7</v>
      </c>
      <c r="W199">
        <v>145.19999999999999</v>
      </c>
      <c r="X199">
        <v>142.5</v>
      </c>
      <c r="Y199" s="1">
        <f t="shared" si="18"/>
        <v>280.39999999999998</v>
      </c>
      <c r="Z199">
        <v>138.1</v>
      </c>
      <c r="AA199">
        <v>137.9</v>
      </c>
      <c r="AB199">
        <v>136.19999999999999</v>
      </c>
      <c r="AC199">
        <v>123.7</v>
      </c>
      <c r="AD199">
        <v>132.6</v>
      </c>
      <c r="AE199">
        <v>142.80000000000001</v>
      </c>
      <c r="AF199">
        <v>130.1</v>
      </c>
      <c r="AG199">
        <v>132.6</v>
      </c>
      <c r="AH199">
        <v>138.5</v>
      </c>
      <c r="AI199">
        <f>SUM('Cleaned Data'!AC199,'Cleaned Data'!AE199,'Cleaned Data'!Z199,'Cleaned Data'!AA199)</f>
        <v>542.5</v>
      </c>
      <c r="AJ199" s="1">
        <f t="shared" si="19"/>
        <v>135.625</v>
      </c>
    </row>
    <row r="200" spans="1:36">
      <c r="A200" t="s">
        <v>93</v>
      </c>
      <c r="B200">
        <v>2018</v>
      </c>
      <c r="C200" t="s">
        <v>25</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s="1">
        <f t="shared" si="15"/>
        <v>1677.7</v>
      </c>
      <c r="Q200">
        <v>142</v>
      </c>
      <c r="R200">
        <v>156.1</v>
      </c>
      <c r="S200" s="1">
        <f t="shared" si="16"/>
        <v>558.69999999999993</v>
      </c>
      <c r="T200">
        <v>151.5</v>
      </c>
      <c r="U200">
        <v>145.1</v>
      </c>
      <c r="V200" s="1">
        <f t="shared" si="17"/>
        <v>447.20000000000005</v>
      </c>
      <c r="W200">
        <v>150.6</v>
      </c>
      <c r="X200">
        <v>143.6</v>
      </c>
      <c r="Y200" s="1">
        <f t="shared" si="18"/>
        <v>286.7</v>
      </c>
      <c r="Z200">
        <v>146.80000000000001</v>
      </c>
      <c r="AA200">
        <v>143.1</v>
      </c>
      <c r="AB200">
        <v>139</v>
      </c>
      <c r="AC200">
        <v>127.5</v>
      </c>
      <c r="AD200">
        <v>138.4</v>
      </c>
      <c r="AE200">
        <v>145.80000000000001</v>
      </c>
      <c r="AF200">
        <v>131.4</v>
      </c>
      <c r="AG200">
        <v>136</v>
      </c>
      <c r="AH200">
        <v>141.80000000000001</v>
      </c>
      <c r="AI200">
        <f>SUM('Cleaned Data'!AC200,'Cleaned Data'!AE200,'Cleaned Data'!Z200,'Cleaned Data'!AA200)</f>
        <v>563.20000000000005</v>
      </c>
      <c r="AJ200" s="1">
        <f t="shared" si="19"/>
        <v>140.80000000000001</v>
      </c>
    </row>
    <row r="201" spans="1:36">
      <c r="A201" t="s">
        <v>94</v>
      </c>
      <c r="B201">
        <v>2018</v>
      </c>
      <c r="C201" t="s">
        <v>25</v>
      </c>
      <c r="D201">
        <v>135.6</v>
      </c>
      <c r="E201">
        <v>148.6</v>
      </c>
      <c r="F201">
        <v>139.1</v>
      </c>
      <c r="G201">
        <v>141</v>
      </c>
      <c r="H201">
        <v>116.7</v>
      </c>
      <c r="I201">
        <v>149.69999999999999</v>
      </c>
      <c r="J201">
        <v>159.19999999999999</v>
      </c>
      <c r="K201">
        <v>112.6</v>
      </c>
      <c r="L201">
        <v>111.8</v>
      </c>
      <c r="M201">
        <v>140.30000000000001</v>
      </c>
      <c r="N201">
        <v>126.8</v>
      </c>
      <c r="O201">
        <v>149.4</v>
      </c>
      <c r="P201" s="1">
        <f t="shared" si="15"/>
        <v>1644.2999999999997</v>
      </c>
      <c r="Q201">
        <v>140.30000000000001</v>
      </c>
      <c r="R201">
        <v>161.4</v>
      </c>
      <c r="S201" s="1">
        <f t="shared" si="16"/>
        <v>545.4</v>
      </c>
      <c r="T201">
        <v>139.6</v>
      </c>
      <c r="U201">
        <v>128.9</v>
      </c>
      <c r="V201" s="1">
        <f t="shared" si="17"/>
        <v>406.4</v>
      </c>
      <c r="W201">
        <v>137.9</v>
      </c>
      <c r="X201">
        <v>143.6</v>
      </c>
      <c r="Y201" s="1">
        <f t="shared" si="18"/>
        <v>277.2</v>
      </c>
      <c r="Z201">
        <v>128.1</v>
      </c>
      <c r="AA201">
        <v>133.6</v>
      </c>
      <c r="AB201">
        <v>133.6</v>
      </c>
      <c r="AC201">
        <v>120.1</v>
      </c>
      <c r="AD201">
        <v>129</v>
      </c>
      <c r="AE201">
        <v>144</v>
      </c>
      <c r="AF201">
        <v>128.19999999999999</v>
      </c>
      <c r="AG201">
        <v>130.19999999999999</v>
      </c>
      <c r="AH201">
        <v>137.5</v>
      </c>
      <c r="AI201">
        <f>SUM('Cleaned Data'!AC201,'Cleaned Data'!AE201,'Cleaned Data'!Z201,'Cleaned Data'!AA201)</f>
        <v>525.80000000000007</v>
      </c>
      <c r="AJ201" s="1">
        <f t="shared" si="19"/>
        <v>131.45000000000002</v>
      </c>
    </row>
    <row r="202" spans="1:36">
      <c r="A202" t="s">
        <v>6</v>
      </c>
      <c r="B202">
        <v>2018</v>
      </c>
      <c r="C202" t="s">
        <v>25</v>
      </c>
      <c r="D202">
        <v>137.5</v>
      </c>
      <c r="E202">
        <v>149.1</v>
      </c>
      <c r="F202">
        <v>139.19999999999999</v>
      </c>
      <c r="G202">
        <v>142.5</v>
      </c>
      <c r="H202">
        <v>121.4</v>
      </c>
      <c r="I202">
        <v>151.6</v>
      </c>
      <c r="J202">
        <v>155.9</v>
      </c>
      <c r="K202">
        <v>121.7</v>
      </c>
      <c r="L202">
        <v>113.5</v>
      </c>
      <c r="M202">
        <v>138.9</v>
      </c>
      <c r="N202">
        <v>130.30000000000001</v>
      </c>
      <c r="O202">
        <v>152.30000000000001</v>
      </c>
      <c r="P202" s="1">
        <f t="shared" si="15"/>
        <v>1665.0000000000002</v>
      </c>
      <c r="Q202">
        <v>141.4</v>
      </c>
      <c r="R202">
        <v>157.5</v>
      </c>
      <c r="S202" s="1">
        <f t="shared" si="16"/>
        <v>551</v>
      </c>
      <c r="T202">
        <v>146.80000000000001</v>
      </c>
      <c r="U202">
        <v>138.4</v>
      </c>
      <c r="V202" s="1">
        <f t="shared" si="17"/>
        <v>430.80000000000007</v>
      </c>
      <c r="W202">
        <v>145.6</v>
      </c>
      <c r="X202">
        <v>143.6</v>
      </c>
      <c r="Y202" s="1">
        <f t="shared" si="18"/>
        <v>282.2</v>
      </c>
      <c r="Z202">
        <v>139.69999999999999</v>
      </c>
      <c r="AA202">
        <v>138.6</v>
      </c>
      <c r="AB202">
        <v>137</v>
      </c>
      <c r="AC202">
        <v>123.6</v>
      </c>
      <c r="AD202">
        <v>133.1</v>
      </c>
      <c r="AE202">
        <v>144.69999999999999</v>
      </c>
      <c r="AF202">
        <v>130.1</v>
      </c>
      <c r="AG202">
        <v>133.19999999999999</v>
      </c>
      <c r="AH202">
        <v>139.80000000000001</v>
      </c>
      <c r="AI202">
        <f>SUM('Cleaned Data'!AC202,'Cleaned Data'!AE202,'Cleaned Data'!Z202,'Cleaned Data'!AA202)</f>
        <v>546.59999999999991</v>
      </c>
      <c r="AJ202" s="1">
        <f t="shared" si="19"/>
        <v>136.64999999999998</v>
      </c>
    </row>
    <row r="203" spans="1:36">
      <c r="A203" t="s">
        <v>93</v>
      </c>
      <c r="B203">
        <v>2018</v>
      </c>
      <c r="C203" t="s">
        <v>27</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s="1">
        <f t="shared" si="15"/>
        <v>1684.9999999999998</v>
      </c>
      <c r="Q203">
        <v>142.69999999999999</v>
      </c>
      <c r="R203">
        <v>156.4</v>
      </c>
      <c r="S203" s="1">
        <f t="shared" si="16"/>
        <v>560.10000000000014</v>
      </c>
      <c r="T203">
        <v>152.1</v>
      </c>
      <c r="U203">
        <v>145.80000000000001</v>
      </c>
      <c r="V203" s="1">
        <f t="shared" si="17"/>
        <v>449.2</v>
      </c>
      <c r="W203">
        <v>151.30000000000001</v>
      </c>
      <c r="X203">
        <v>144.6</v>
      </c>
      <c r="Y203" s="1">
        <f t="shared" si="18"/>
        <v>288.39999999999998</v>
      </c>
      <c r="Z203">
        <v>147.69999999999999</v>
      </c>
      <c r="AA203">
        <v>143.80000000000001</v>
      </c>
      <c r="AB203">
        <v>139.4</v>
      </c>
      <c r="AC203">
        <v>128.30000000000001</v>
      </c>
      <c r="AD203">
        <v>138.6</v>
      </c>
      <c r="AE203">
        <v>146.9</v>
      </c>
      <c r="AF203">
        <v>131.30000000000001</v>
      </c>
      <c r="AG203">
        <v>136.6</v>
      </c>
      <c r="AH203">
        <v>142.5</v>
      </c>
      <c r="AI203">
        <f>SUM('Cleaned Data'!AC203,'Cleaned Data'!AE203,'Cleaned Data'!Z203,'Cleaned Data'!AA203)</f>
        <v>566.70000000000005</v>
      </c>
      <c r="AJ203" s="1">
        <f t="shared" si="19"/>
        <v>141.67500000000001</v>
      </c>
    </row>
    <row r="204" spans="1:36">
      <c r="A204" t="s">
        <v>94</v>
      </c>
      <c r="B204">
        <v>2018</v>
      </c>
      <c r="C204" t="s">
        <v>27</v>
      </c>
      <c r="D204">
        <v>136.5</v>
      </c>
      <c r="E204">
        <v>146.4</v>
      </c>
      <c r="F204">
        <v>136.6</v>
      </c>
      <c r="G204">
        <v>141.19999999999999</v>
      </c>
      <c r="H204">
        <v>117.4</v>
      </c>
      <c r="I204">
        <v>146.30000000000001</v>
      </c>
      <c r="J204">
        <v>157.30000000000001</v>
      </c>
      <c r="K204">
        <v>113.6</v>
      </c>
      <c r="L204">
        <v>113.3</v>
      </c>
      <c r="M204">
        <v>141.1</v>
      </c>
      <c r="N204">
        <v>127.4</v>
      </c>
      <c r="O204">
        <v>150.4</v>
      </c>
      <c r="P204" s="1">
        <f t="shared" si="15"/>
        <v>1640.1999999999998</v>
      </c>
      <c r="Q204">
        <v>140.1</v>
      </c>
      <c r="R204">
        <v>162.1</v>
      </c>
      <c r="S204" s="1">
        <f t="shared" si="16"/>
        <v>547.6</v>
      </c>
      <c r="T204">
        <v>140</v>
      </c>
      <c r="U204">
        <v>129</v>
      </c>
      <c r="V204" s="1">
        <f t="shared" si="17"/>
        <v>407.3</v>
      </c>
      <c r="W204">
        <v>138.30000000000001</v>
      </c>
      <c r="X204">
        <v>144.6</v>
      </c>
      <c r="Y204" s="1">
        <f t="shared" si="18"/>
        <v>279</v>
      </c>
      <c r="Z204">
        <v>129.80000000000001</v>
      </c>
      <c r="AA204">
        <v>134.4</v>
      </c>
      <c r="AB204">
        <v>134.9</v>
      </c>
      <c r="AC204">
        <v>120.7</v>
      </c>
      <c r="AD204">
        <v>129.80000000000001</v>
      </c>
      <c r="AE204">
        <v>145.30000000000001</v>
      </c>
      <c r="AF204">
        <v>128.30000000000001</v>
      </c>
      <c r="AG204">
        <v>131</v>
      </c>
      <c r="AH204">
        <v>138</v>
      </c>
      <c r="AI204">
        <f>SUM('Cleaned Data'!AC204,'Cleaned Data'!AE204,'Cleaned Data'!Z204,'Cleaned Data'!AA204)</f>
        <v>530.20000000000005</v>
      </c>
      <c r="AJ204" s="1">
        <f t="shared" si="19"/>
        <v>132.55000000000001</v>
      </c>
    </row>
    <row r="205" spans="1:36">
      <c r="A205" t="s">
        <v>6</v>
      </c>
      <c r="B205">
        <v>2018</v>
      </c>
      <c r="C205" t="s">
        <v>27</v>
      </c>
      <c r="D205">
        <v>138.30000000000001</v>
      </c>
      <c r="E205">
        <v>148</v>
      </c>
      <c r="F205">
        <v>138.1</v>
      </c>
      <c r="G205">
        <v>142.6</v>
      </c>
      <c r="H205">
        <v>122.2</v>
      </c>
      <c r="I205">
        <v>150.6</v>
      </c>
      <c r="J205">
        <v>156.6</v>
      </c>
      <c r="K205">
        <v>122.4</v>
      </c>
      <c r="L205">
        <v>114.7</v>
      </c>
      <c r="M205">
        <v>139.4</v>
      </c>
      <c r="N205">
        <v>131.1</v>
      </c>
      <c r="O205">
        <v>153</v>
      </c>
      <c r="P205" s="1">
        <f t="shared" si="15"/>
        <v>1667.6</v>
      </c>
      <c r="Q205">
        <v>141.69999999999999</v>
      </c>
      <c r="R205">
        <v>157.9</v>
      </c>
      <c r="S205" s="1">
        <f t="shared" si="16"/>
        <v>552.70000000000005</v>
      </c>
      <c r="T205">
        <v>147.30000000000001</v>
      </c>
      <c r="U205">
        <v>138.80000000000001</v>
      </c>
      <c r="V205" s="1">
        <f t="shared" si="17"/>
        <v>432.20000000000005</v>
      </c>
      <c r="W205">
        <v>146.1</v>
      </c>
      <c r="X205">
        <v>144.6</v>
      </c>
      <c r="Y205" s="1">
        <f t="shared" si="18"/>
        <v>284</v>
      </c>
      <c r="Z205">
        <v>140.9</v>
      </c>
      <c r="AA205">
        <v>139.4</v>
      </c>
      <c r="AB205">
        <v>137.69999999999999</v>
      </c>
      <c r="AC205">
        <v>124.3</v>
      </c>
      <c r="AD205">
        <v>133.6</v>
      </c>
      <c r="AE205">
        <v>146</v>
      </c>
      <c r="AF205">
        <v>130.1</v>
      </c>
      <c r="AG205">
        <v>133.9</v>
      </c>
      <c r="AH205">
        <v>140.4</v>
      </c>
      <c r="AI205">
        <f>SUM('Cleaned Data'!AC205,'Cleaned Data'!AE205,'Cleaned Data'!Z205,'Cleaned Data'!AA205)</f>
        <v>550.6</v>
      </c>
      <c r="AJ205" s="1">
        <f t="shared" si="19"/>
        <v>137.65</v>
      </c>
    </row>
    <row r="206" spans="1:36">
      <c r="A206" t="s">
        <v>93</v>
      </c>
      <c r="B206">
        <v>2018</v>
      </c>
      <c r="C206" t="s">
        <v>29</v>
      </c>
      <c r="D206">
        <v>139.4</v>
      </c>
      <c r="E206">
        <v>147.19999999999999</v>
      </c>
      <c r="F206">
        <v>136.6</v>
      </c>
      <c r="G206">
        <v>143.69999999999999</v>
      </c>
      <c r="H206">
        <v>124.6</v>
      </c>
      <c r="I206">
        <v>150.1</v>
      </c>
      <c r="J206">
        <v>149.4</v>
      </c>
      <c r="K206">
        <v>125.4</v>
      </c>
      <c r="L206">
        <v>114.4</v>
      </c>
      <c r="M206">
        <v>138.69999999999999</v>
      </c>
      <c r="N206">
        <v>133.1</v>
      </c>
      <c r="O206">
        <v>155.9</v>
      </c>
      <c r="P206" s="1">
        <f t="shared" si="15"/>
        <v>1666.7</v>
      </c>
      <c r="Q206">
        <v>141.30000000000001</v>
      </c>
      <c r="R206">
        <v>157.69999999999999</v>
      </c>
      <c r="S206" s="1">
        <f t="shared" si="16"/>
        <v>562.79999999999995</v>
      </c>
      <c r="T206">
        <v>152.1</v>
      </c>
      <c r="U206">
        <v>146.1</v>
      </c>
      <c r="V206" s="1">
        <f t="shared" si="17"/>
        <v>449.5</v>
      </c>
      <c r="W206">
        <v>151.30000000000001</v>
      </c>
      <c r="X206">
        <v>145.30000000000001</v>
      </c>
      <c r="Y206" s="1">
        <f t="shared" si="18"/>
        <v>289.3</v>
      </c>
      <c r="Z206">
        <v>149</v>
      </c>
      <c r="AA206">
        <v>144</v>
      </c>
      <c r="AB206">
        <v>140</v>
      </c>
      <c r="AC206">
        <v>129.9</v>
      </c>
      <c r="AD206">
        <v>140</v>
      </c>
      <c r="AE206">
        <v>147.6</v>
      </c>
      <c r="AF206">
        <v>132</v>
      </c>
      <c r="AG206">
        <v>137.4</v>
      </c>
      <c r="AH206">
        <v>142.1</v>
      </c>
      <c r="AI206">
        <f>SUM('Cleaned Data'!AC206,'Cleaned Data'!AE206,'Cleaned Data'!Z206,'Cleaned Data'!AA206)</f>
        <v>570.5</v>
      </c>
      <c r="AJ206" s="1">
        <f t="shared" si="19"/>
        <v>142.625</v>
      </c>
    </row>
    <row r="207" spans="1:36">
      <c r="A207" t="s">
        <v>94</v>
      </c>
      <c r="B207">
        <v>2018</v>
      </c>
      <c r="C207" t="s">
        <v>29</v>
      </c>
      <c r="D207">
        <v>137</v>
      </c>
      <c r="E207">
        <v>143.1</v>
      </c>
      <c r="F207">
        <v>132.80000000000001</v>
      </c>
      <c r="G207">
        <v>141.5</v>
      </c>
      <c r="H207">
        <v>117.8</v>
      </c>
      <c r="I207">
        <v>140</v>
      </c>
      <c r="J207">
        <v>151.30000000000001</v>
      </c>
      <c r="K207">
        <v>113.5</v>
      </c>
      <c r="L207">
        <v>112.3</v>
      </c>
      <c r="M207">
        <v>141.19999999999999</v>
      </c>
      <c r="N207">
        <v>127.7</v>
      </c>
      <c r="O207">
        <v>151.30000000000001</v>
      </c>
      <c r="P207" s="1">
        <f t="shared" si="15"/>
        <v>1620.6999999999998</v>
      </c>
      <c r="Q207">
        <v>138.9</v>
      </c>
      <c r="R207">
        <v>163.30000000000001</v>
      </c>
      <c r="S207" s="1">
        <f t="shared" si="16"/>
        <v>550.5</v>
      </c>
      <c r="T207">
        <v>140.80000000000001</v>
      </c>
      <c r="U207">
        <v>129.30000000000001</v>
      </c>
      <c r="V207" s="1">
        <f t="shared" si="17"/>
        <v>409.20000000000005</v>
      </c>
      <c r="W207">
        <v>139.1</v>
      </c>
      <c r="X207">
        <v>145.30000000000001</v>
      </c>
      <c r="Y207" s="1">
        <f t="shared" si="18"/>
        <v>280.20000000000005</v>
      </c>
      <c r="Z207">
        <v>131.19999999999999</v>
      </c>
      <c r="AA207">
        <v>134.9</v>
      </c>
      <c r="AB207">
        <v>135.69999999999999</v>
      </c>
      <c r="AC207">
        <v>122.5</v>
      </c>
      <c r="AD207">
        <v>130.19999999999999</v>
      </c>
      <c r="AE207">
        <v>145.19999999999999</v>
      </c>
      <c r="AF207">
        <v>129.30000000000001</v>
      </c>
      <c r="AG207">
        <v>131.9</v>
      </c>
      <c r="AH207">
        <v>138.1</v>
      </c>
      <c r="AI207">
        <f>SUM('Cleaned Data'!AC207,'Cleaned Data'!AE207,'Cleaned Data'!Z207,'Cleaned Data'!AA207)</f>
        <v>533.79999999999995</v>
      </c>
      <c r="AJ207" s="1">
        <f t="shared" si="19"/>
        <v>133.44999999999999</v>
      </c>
    </row>
    <row r="208" spans="1:36">
      <c r="A208" t="s">
        <v>6</v>
      </c>
      <c r="B208">
        <v>2018</v>
      </c>
      <c r="C208" t="s">
        <v>29</v>
      </c>
      <c r="D208">
        <v>138.6</v>
      </c>
      <c r="E208">
        <v>145.80000000000001</v>
      </c>
      <c r="F208">
        <v>135.1</v>
      </c>
      <c r="G208">
        <v>142.9</v>
      </c>
      <c r="H208">
        <v>122.1</v>
      </c>
      <c r="I208">
        <v>145.4</v>
      </c>
      <c r="J208">
        <v>150</v>
      </c>
      <c r="K208">
        <v>121.4</v>
      </c>
      <c r="L208">
        <v>113.7</v>
      </c>
      <c r="M208">
        <v>139.5</v>
      </c>
      <c r="N208">
        <v>130.80000000000001</v>
      </c>
      <c r="O208">
        <v>153.80000000000001</v>
      </c>
      <c r="P208" s="1">
        <f t="shared" si="15"/>
        <v>1648.6999999999998</v>
      </c>
      <c r="Q208">
        <v>140.4</v>
      </c>
      <c r="R208">
        <v>159.19999999999999</v>
      </c>
      <c r="S208" s="1">
        <f t="shared" si="16"/>
        <v>555.4</v>
      </c>
      <c r="T208">
        <v>147.69999999999999</v>
      </c>
      <c r="U208">
        <v>139.1</v>
      </c>
      <c r="V208" s="1">
        <f t="shared" si="17"/>
        <v>433.29999999999995</v>
      </c>
      <c r="W208">
        <v>146.5</v>
      </c>
      <c r="X208">
        <v>145.30000000000001</v>
      </c>
      <c r="Y208" s="1">
        <f t="shared" si="18"/>
        <v>285</v>
      </c>
      <c r="Z208">
        <v>142.30000000000001</v>
      </c>
      <c r="AA208">
        <v>139.69999999999999</v>
      </c>
      <c r="AB208">
        <v>138.4</v>
      </c>
      <c r="AC208">
        <v>126</v>
      </c>
      <c r="AD208">
        <v>134.5</v>
      </c>
      <c r="AE208">
        <v>146.19999999999999</v>
      </c>
      <c r="AF208">
        <v>130.9</v>
      </c>
      <c r="AG208">
        <v>134.69999999999999</v>
      </c>
      <c r="AH208">
        <v>140.19999999999999</v>
      </c>
      <c r="AI208">
        <f>SUM('Cleaned Data'!AC208,'Cleaned Data'!AE208,'Cleaned Data'!Z208,'Cleaned Data'!AA208)</f>
        <v>554.20000000000005</v>
      </c>
      <c r="AJ208" s="1">
        <f t="shared" si="19"/>
        <v>138.55000000000001</v>
      </c>
    </row>
    <row r="209" spans="1:36">
      <c r="A209" t="s">
        <v>93</v>
      </c>
      <c r="B209">
        <v>2018</v>
      </c>
      <c r="C209" t="s">
        <v>31</v>
      </c>
      <c r="D209">
        <v>139.30000000000001</v>
      </c>
      <c r="E209">
        <v>147.6</v>
      </c>
      <c r="F209">
        <v>134.6</v>
      </c>
      <c r="G209">
        <v>141.9</v>
      </c>
      <c r="H209">
        <v>123.5</v>
      </c>
      <c r="I209">
        <v>144.5</v>
      </c>
      <c r="J209">
        <v>147.6</v>
      </c>
      <c r="K209">
        <v>121.4</v>
      </c>
      <c r="L209">
        <v>112.3</v>
      </c>
      <c r="M209">
        <v>139.5</v>
      </c>
      <c r="N209">
        <v>134.6</v>
      </c>
      <c r="O209">
        <v>155.19999999999999</v>
      </c>
      <c r="P209" s="1">
        <f t="shared" si="15"/>
        <v>1647.6</v>
      </c>
      <c r="Q209">
        <v>140.19999999999999</v>
      </c>
      <c r="R209">
        <v>159.6</v>
      </c>
      <c r="S209" s="1">
        <f t="shared" si="16"/>
        <v>568.69999999999993</v>
      </c>
      <c r="T209">
        <v>150.69999999999999</v>
      </c>
      <c r="U209">
        <v>144.5</v>
      </c>
      <c r="V209" s="1">
        <f t="shared" si="17"/>
        <v>445</v>
      </c>
      <c r="W209">
        <v>149.80000000000001</v>
      </c>
      <c r="X209">
        <v>146.6</v>
      </c>
      <c r="Y209" s="1">
        <f t="shared" si="18"/>
        <v>294.10000000000002</v>
      </c>
      <c r="Z209">
        <v>149.69999999999999</v>
      </c>
      <c r="AA209">
        <v>147.5</v>
      </c>
      <c r="AB209">
        <v>144.80000000000001</v>
      </c>
      <c r="AC209">
        <v>130.80000000000001</v>
      </c>
      <c r="AD209">
        <v>140.1</v>
      </c>
      <c r="AE209">
        <v>148</v>
      </c>
      <c r="AF209">
        <v>134.4</v>
      </c>
      <c r="AG209">
        <v>139.80000000000001</v>
      </c>
      <c r="AH209">
        <v>142.19999999999999</v>
      </c>
      <c r="AI209">
        <f>SUM('Cleaned Data'!AC209,'Cleaned Data'!AE209,'Cleaned Data'!Z209,'Cleaned Data'!AA209)</f>
        <v>576</v>
      </c>
      <c r="AJ209" s="1">
        <f t="shared" si="19"/>
        <v>144</v>
      </c>
    </row>
    <row r="210" spans="1:36">
      <c r="A210" t="s">
        <v>94</v>
      </c>
      <c r="B210">
        <v>2018</v>
      </c>
      <c r="C210" t="s">
        <v>31</v>
      </c>
      <c r="D210">
        <v>137.6</v>
      </c>
      <c r="E210">
        <v>144.9</v>
      </c>
      <c r="F210">
        <v>133.5</v>
      </c>
      <c r="G210">
        <v>141.5</v>
      </c>
      <c r="H210">
        <v>118</v>
      </c>
      <c r="I210">
        <v>139.5</v>
      </c>
      <c r="J210">
        <v>153</v>
      </c>
      <c r="K210">
        <v>113.2</v>
      </c>
      <c r="L210">
        <v>112.8</v>
      </c>
      <c r="M210">
        <v>141.1</v>
      </c>
      <c r="N210">
        <v>127.6</v>
      </c>
      <c r="O210">
        <v>152</v>
      </c>
      <c r="P210" s="1">
        <f t="shared" si="15"/>
        <v>1626.5</v>
      </c>
      <c r="Q210">
        <v>139.4</v>
      </c>
      <c r="R210">
        <v>164</v>
      </c>
      <c r="S210" s="1">
        <f t="shared" si="16"/>
        <v>552.70000000000005</v>
      </c>
      <c r="T210">
        <v>141.5</v>
      </c>
      <c r="U210">
        <v>129.80000000000001</v>
      </c>
      <c r="V210" s="1">
        <f t="shared" si="17"/>
        <v>411</v>
      </c>
      <c r="W210">
        <v>139.69999999999999</v>
      </c>
      <c r="X210">
        <v>146.30000000000001</v>
      </c>
      <c r="Y210" s="1">
        <f t="shared" si="18"/>
        <v>281.39999999999998</v>
      </c>
      <c r="Z210">
        <v>133.4</v>
      </c>
      <c r="AA210">
        <v>135.1</v>
      </c>
      <c r="AB210">
        <v>136.19999999999999</v>
      </c>
      <c r="AC210">
        <v>123.3</v>
      </c>
      <c r="AD210">
        <v>130.69999999999999</v>
      </c>
      <c r="AE210">
        <v>145.5</v>
      </c>
      <c r="AF210">
        <v>130.4</v>
      </c>
      <c r="AG210">
        <v>132.5</v>
      </c>
      <c r="AH210">
        <v>138.9</v>
      </c>
      <c r="AI210">
        <f>SUM('Cleaned Data'!AC210,'Cleaned Data'!AE210,'Cleaned Data'!Z210,'Cleaned Data'!AA210)</f>
        <v>537.30000000000007</v>
      </c>
      <c r="AJ210" s="1">
        <f t="shared" si="19"/>
        <v>134.32499999999999</v>
      </c>
    </row>
    <row r="211" spans="1:36">
      <c r="A211" t="s">
        <v>6</v>
      </c>
      <c r="B211">
        <v>2018</v>
      </c>
      <c r="C211" t="s">
        <v>31</v>
      </c>
      <c r="D211">
        <v>137.4</v>
      </c>
      <c r="E211">
        <v>149.5</v>
      </c>
      <c r="F211">
        <v>137.30000000000001</v>
      </c>
      <c r="G211">
        <v>141.9</v>
      </c>
      <c r="H211">
        <v>121.1</v>
      </c>
      <c r="I211">
        <v>142.5</v>
      </c>
      <c r="J211">
        <v>146.69999999999999</v>
      </c>
      <c r="K211">
        <v>119.1</v>
      </c>
      <c r="L211">
        <v>111.9</v>
      </c>
      <c r="M211">
        <v>141</v>
      </c>
      <c r="N211">
        <v>133.6</v>
      </c>
      <c r="O211">
        <v>154.5</v>
      </c>
      <c r="P211" s="1">
        <f t="shared" si="15"/>
        <v>1642.6000000000001</v>
      </c>
      <c r="Q211">
        <v>139.69999999999999</v>
      </c>
      <c r="R211">
        <v>162.6</v>
      </c>
      <c r="S211" s="1">
        <f t="shared" si="16"/>
        <v>564.70000000000005</v>
      </c>
      <c r="T211">
        <v>148</v>
      </c>
      <c r="U211">
        <v>139.19999999999999</v>
      </c>
      <c r="V211" s="1">
        <f t="shared" si="17"/>
        <v>434</v>
      </c>
      <c r="W211">
        <v>146.80000000000001</v>
      </c>
      <c r="X211">
        <v>146.9</v>
      </c>
      <c r="Y211" s="1">
        <f t="shared" si="18"/>
        <v>289.10000000000002</v>
      </c>
      <c r="Z211">
        <v>145.30000000000001</v>
      </c>
      <c r="AA211">
        <v>142.19999999999999</v>
      </c>
      <c r="AB211">
        <v>142.1</v>
      </c>
      <c r="AC211">
        <v>125.5</v>
      </c>
      <c r="AD211">
        <v>136.5</v>
      </c>
      <c r="AE211">
        <v>147.80000000000001</v>
      </c>
      <c r="AF211">
        <v>132</v>
      </c>
      <c r="AG211">
        <v>136.30000000000001</v>
      </c>
      <c r="AH211">
        <v>140.80000000000001</v>
      </c>
      <c r="AI211">
        <f>SUM('Cleaned Data'!AC211,'Cleaned Data'!AE211,'Cleaned Data'!Z211,'Cleaned Data'!AA211)</f>
        <v>560.79999999999995</v>
      </c>
      <c r="AJ211" s="1">
        <f t="shared" si="19"/>
        <v>140.19999999999999</v>
      </c>
    </row>
    <row r="212" spans="1:36">
      <c r="A212" t="s">
        <v>93</v>
      </c>
      <c r="B212">
        <v>2018</v>
      </c>
      <c r="C212" t="s">
        <v>33</v>
      </c>
      <c r="D212">
        <v>137.1</v>
      </c>
      <c r="E212">
        <v>150.80000000000001</v>
      </c>
      <c r="F212">
        <v>136.69999999999999</v>
      </c>
      <c r="G212">
        <v>141.9</v>
      </c>
      <c r="H212">
        <v>122.8</v>
      </c>
      <c r="I212">
        <v>143.9</v>
      </c>
      <c r="J212">
        <v>147.5</v>
      </c>
      <c r="K212">
        <v>121</v>
      </c>
      <c r="L212">
        <v>111.6</v>
      </c>
      <c r="M212">
        <v>140.6</v>
      </c>
      <c r="N212">
        <v>137.5</v>
      </c>
      <c r="O212">
        <v>156.1</v>
      </c>
      <c r="P212" s="1">
        <f t="shared" si="15"/>
        <v>1649.9999999999998</v>
      </c>
      <c r="Q212">
        <v>140</v>
      </c>
      <c r="R212">
        <v>161.9</v>
      </c>
      <c r="S212" s="1">
        <f t="shared" si="16"/>
        <v>575.6</v>
      </c>
      <c r="T212">
        <v>151.69999999999999</v>
      </c>
      <c r="U212">
        <v>145.5</v>
      </c>
      <c r="V212" s="1">
        <f t="shared" si="17"/>
        <v>448</v>
      </c>
      <c r="W212">
        <v>150.80000000000001</v>
      </c>
      <c r="X212">
        <v>146.9</v>
      </c>
      <c r="Y212" s="1">
        <f t="shared" si="18"/>
        <v>294.89999999999998</v>
      </c>
      <c r="Z212">
        <v>150.30000000000001</v>
      </c>
      <c r="AA212">
        <v>148</v>
      </c>
      <c r="AB212">
        <v>145.4</v>
      </c>
      <c r="AC212">
        <v>130.30000000000001</v>
      </c>
      <c r="AD212">
        <v>143.1</v>
      </c>
      <c r="AE212">
        <v>150.19999999999999</v>
      </c>
      <c r="AF212">
        <v>133.1</v>
      </c>
      <c r="AG212">
        <v>140.1</v>
      </c>
      <c r="AH212">
        <v>142.4</v>
      </c>
      <c r="AI212">
        <f>SUM('Cleaned Data'!AC212,'Cleaned Data'!AE212,'Cleaned Data'!Z212,'Cleaned Data'!AA212)</f>
        <v>578.79999999999995</v>
      </c>
      <c r="AJ212" s="1">
        <f t="shared" si="19"/>
        <v>144.69999999999999</v>
      </c>
    </row>
    <row r="213" spans="1:36">
      <c r="A213" t="s">
        <v>94</v>
      </c>
      <c r="B213">
        <v>2018</v>
      </c>
      <c r="C213" t="s">
        <v>33</v>
      </c>
      <c r="D213">
        <v>138.1</v>
      </c>
      <c r="E213">
        <v>146.30000000000001</v>
      </c>
      <c r="F213">
        <v>137.80000000000001</v>
      </c>
      <c r="G213">
        <v>141.6</v>
      </c>
      <c r="H213">
        <v>118.1</v>
      </c>
      <c r="I213">
        <v>141.5</v>
      </c>
      <c r="J213">
        <v>145.19999999999999</v>
      </c>
      <c r="K213">
        <v>115.3</v>
      </c>
      <c r="L213">
        <v>112.5</v>
      </c>
      <c r="M213">
        <v>141.4</v>
      </c>
      <c r="N213">
        <v>128</v>
      </c>
      <c r="O213">
        <v>152.6</v>
      </c>
      <c r="P213" s="1">
        <f t="shared" si="15"/>
        <v>1629.4999999999998</v>
      </c>
      <c r="Q213">
        <v>139.1</v>
      </c>
      <c r="R213">
        <v>164.4</v>
      </c>
      <c r="S213" s="1">
        <f t="shared" si="16"/>
        <v>554.20000000000005</v>
      </c>
      <c r="T213">
        <v>142.4</v>
      </c>
      <c r="U213">
        <v>130.19999999999999</v>
      </c>
      <c r="V213" s="1">
        <f t="shared" si="17"/>
        <v>413.1</v>
      </c>
      <c r="W213">
        <v>140.5</v>
      </c>
      <c r="X213">
        <v>146.9</v>
      </c>
      <c r="Y213" s="1">
        <f t="shared" si="18"/>
        <v>282.70000000000005</v>
      </c>
      <c r="Z213">
        <v>136.69999999999999</v>
      </c>
      <c r="AA213">
        <v>135.80000000000001</v>
      </c>
      <c r="AB213">
        <v>136.80000000000001</v>
      </c>
      <c r="AC213">
        <v>121.2</v>
      </c>
      <c r="AD213">
        <v>131.30000000000001</v>
      </c>
      <c r="AE213">
        <v>146.1</v>
      </c>
      <c r="AF213">
        <v>130.5</v>
      </c>
      <c r="AG213">
        <v>132.19999999999999</v>
      </c>
      <c r="AH213">
        <v>139</v>
      </c>
      <c r="AI213">
        <f>SUM('Cleaned Data'!AC213,'Cleaned Data'!AE213,'Cleaned Data'!Z213,'Cleaned Data'!AA213)</f>
        <v>539.79999999999995</v>
      </c>
      <c r="AJ213" s="1">
        <f t="shared" si="19"/>
        <v>134.94999999999999</v>
      </c>
    </row>
    <row r="214" spans="1:36">
      <c r="A214" t="s">
        <v>6</v>
      </c>
      <c r="B214">
        <v>2018</v>
      </c>
      <c r="C214" t="s">
        <v>33</v>
      </c>
      <c r="D214">
        <v>137.4</v>
      </c>
      <c r="E214">
        <v>149.19999999999999</v>
      </c>
      <c r="F214">
        <v>137.1</v>
      </c>
      <c r="G214">
        <v>141.80000000000001</v>
      </c>
      <c r="H214">
        <v>121.1</v>
      </c>
      <c r="I214">
        <v>142.80000000000001</v>
      </c>
      <c r="J214">
        <v>146.69999999999999</v>
      </c>
      <c r="K214">
        <v>119.1</v>
      </c>
      <c r="L214">
        <v>111.9</v>
      </c>
      <c r="M214">
        <v>140.9</v>
      </c>
      <c r="N214">
        <v>133.5</v>
      </c>
      <c r="O214">
        <v>154.5</v>
      </c>
      <c r="P214" s="1">
        <f t="shared" si="15"/>
        <v>1642.2</v>
      </c>
      <c r="Q214">
        <v>139.69999999999999</v>
      </c>
      <c r="R214">
        <v>162.6</v>
      </c>
      <c r="S214" s="1">
        <f t="shared" si="16"/>
        <v>564.6</v>
      </c>
      <c r="T214">
        <v>148</v>
      </c>
      <c r="U214">
        <v>139.1</v>
      </c>
      <c r="V214" s="1">
        <f t="shared" si="17"/>
        <v>433.8</v>
      </c>
      <c r="W214">
        <v>146.69999999999999</v>
      </c>
      <c r="X214">
        <v>146.9</v>
      </c>
      <c r="Y214" s="1">
        <f t="shared" si="18"/>
        <v>289.10000000000002</v>
      </c>
      <c r="Z214">
        <v>145.1</v>
      </c>
      <c r="AA214">
        <v>142.19999999999999</v>
      </c>
      <c r="AB214">
        <v>142.1</v>
      </c>
      <c r="AC214">
        <v>125.5</v>
      </c>
      <c r="AD214">
        <v>136.5</v>
      </c>
      <c r="AE214">
        <v>147.80000000000001</v>
      </c>
      <c r="AF214">
        <v>132</v>
      </c>
      <c r="AG214">
        <v>136.30000000000001</v>
      </c>
      <c r="AH214">
        <v>140.80000000000001</v>
      </c>
      <c r="AI214">
        <f>SUM('Cleaned Data'!AC214,'Cleaned Data'!AE214,'Cleaned Data'!Z214,'Cleaned Data'!AA214)</f>
        <v>560.59999999999991</v>
      </c>
      <c r="AJ214" s="1">
        <f t="shared" si="19"/>
        <v>140.15</v>
      </c>
    </row>
    <row r="215" spans="1:36">
      <c r="A215" t="s">
        <v>93</v>
      </c>
      <c r="B215">
        <v>2018</v>
      </c>
      <c r="C215" t="s">
        <v>35</v>
      </c>
      <c r="D215">
        <v>137.1</v>
      </c>
      <c r="E215">
        <v>151.9</v>
      </c>
      <c r="F215">
        <v>137.4</v>
      </c>
      <c r="G215">
        <v>142.4</v>
      </c>
      <c r="H215">
        <v>124.2</v>
      </c>
      <c r="I215">
        <v>140.19999999999999</v>
      </c>
      <c r="J215">
        <v>136.6</v>
      </c>
      <c r="K215">
        <v>120.9</v>
      </c>
      <c r="L215">
        <v>109.9</v>
      </c>
      <c r="M215">
        <v>140.19999999999999</v>
      </c>
      <c r="N215">
        <v>137.80000000000001</v>
      </c>
      <c r="O215">
        <v>156</v>
      </c>
      <c r="P215" s="1">
        <f t="shared" si="15"/>
        <v>1635.3000000000002</v>
      </c>
      <c r="Q215">
        <v>138.5</v>
      </c>
      <c r="R215">
        <v>162.4</v>
      </c>
      <c r="S215" s="1">
        <f t="shared" si="16"/>
        <v>576.70000000000005</v>
      </c>
      <c r="T215">
        <v>151.6</v>
      </c>
      <c r="U215">
        <v>145.9</v>
      </c>
      <c r="V215" s="1">
        <f t="shared" si="17"/>
        <v>448.3</v>
      </c>
      <c r="W215">
        <v>150.80000000000001</v>
      </c>
      <c r="X215">
        <v>146.5</v>
      </c>
      <c r="Y215" s="1">
        <f t="shared" si="18"/>
        <v>296</v>
      </c>
      <c r="Z215">
        <v>149</v>
      </c>
      <c r="AA215">
        <v>149.5</v>
      </c>
      <c r="AB215">
        <v>149.6</v>
      </c>
      <c r="AC215">
        <v>128.9</v>
      </c>
      <c r="AD215">
        <v>143.30000000000001</v>
      </c>
      <c r="AE215">
        <v>155.1</v>
      </c>
      <c r="AF215">
        <v>133.19999999999999</v>
      </c>
      <c r="AG215">
        <v>141.6</v>
      </c>
      <c r="AH215">
        <v>141.9</v>
      </c>
      <c r="AI215">
        <f>SUM('Cleaned Data'!AC215,'Cleaned Data'!AE215,'Cleaned Data'!Z215,'Cleaned Data'!AA215)</f>
        <v>582.5</v>
      </c>
      <c r="AJ215" s="1">
        <f t="shared" si="19"/>
        <v>145.625</v>
      </c>
    </row>
    <row r="216" spans="1:36">
      <c r="A216" t="s">
        <v>94</v>
      </c>
      <c r="B216">
        <v>2018</v>
      </c>
      <c r="C216" t="s">
        <v>35</v>
      </c>
      <c r="D216">
        <v>138.5</v>
      </c>
      <c r="E216">
        <v>147.80000000000001</v>
      </c>
      <c r="F216">
        <v>141.1</v>
      </c>
      <c r="G216">
        <v>141.6</v>
      </c>
      <c r="H216">
        <v>118.1</v>
      </c>
      <c r="I216">
        <v>138.5</v>
      </c>
      <c r="J216">
        <v>132.4</v>
      </c>
      <c r="K216">
        <v>117.5</v>
      </c>
      <c r="L216">
        <v>111</v>
      </c>
      <c r="M216">
        <v>141.5</v>
      </c>
      <c r="N216">
        <v>128.1</v>
      </c>
      <c r="O216">
        <v>152.9</v>
      </c>
      <c r="P216" s="1">
        <f t="shared" si="15"/>
        <v>1618.4999999999998</v>
      </c>
      <c r="Q216">
        <v>137.6</v>
      </c>
      <c r="R216">
        <v>164.6</v>
      </c>
      <c r="S216" s="1">
        <f t="shared" si="16"/>
        <v>555.20000000000005</v>
      </c>
      <c r="T216">
        <v>142.69999999999999</v>
      </c>
      <c r="U216">
        <v>130.30000000000001</v>
      </c>
      <c r="V216" s="1">
        <f t="shared" si="17"/>
        <v>413.8</v>
      </c>
      <c r="W216">
        <v>140.80000000000001</v>
      </c>
      <c r="X216">
        <v>146.5</v>
      </c>
      <c r="Y216" s="1">
        <f t="shared" si="18"/>
        <v>282.7</v>
      </c>
      <c r="Z216">
        <v>132.4</v>
      </c>
      <c r="AA216">
        <v>136.19999999999999</v>
      </c>
      <c r="AB216">
        <v>137.30000000000001</v>
      </c>
      <c r="AC216">
        <v>118.8</v>
      </c>
      <c r="AD216">
        <v>131.69999999999999</v>
      </c>
      <c r="AE216">
        <v>146.5</v>
      </c>
      <c r="AF216">
        <v>130.80000000000001</v>
      </c>
      <c r="AG216">
        <v>131.69999999999999</v>
      </c>
      <c r="AH216">
        <v>138</v>
      </c>
      <c r="AI216">
        <f>SUM('Cleaned Data'!AC216,'Cleaned Data'!AE216,'Cleaned Data'!Z216,'Cleaned Data'!AA216)</f>
        <v>533.90000000000009</v>
      </c>
      <c r="AJ216" s="1">
        <f t="shared" si="19"/>
        <v>133.47499999999999</v>
      </c>
    </row>
    <row r="217" spans="1:36">
      <c r="A217" t="s">
        <v>6</v>
      </c>
      <c r="B217">
        <v>2018</v>
      </c>
      <c r="C217" t="s">
        <v>35</v>
      </c>
      <c r="D217">
        <v>137.5</v>
      </c>
      <c r="E217">
        <v>150.5</v>
      </c>
      <c r="F217">
        <v>138.80000000000001</v>
      </c>
      <c r="G217">
        <v>142.1</v>
      </c>
      <c r="H217">
        <v>122</v>
      </c>
      <c r="I217">
        <v>139.4</v>
      </c>
      <c r="J217">
        <v>135.19999999999999</v>
      </c>
      <c r="K217">
        <v>119.8</v>
      </c>
      <c r="L217">
        <v>110.3</v>
      </c>
      <c r="M217">
        <v>140.6</v>
      </c>
      <c r="N217">
        <v>133.80000000000001</v>
      </c>
      <c r="O217">
        <v>154.6</v>
      </c>
      <c r="P217" s="1">
        <f t="shared" si="15"/>
        <v>1629</v>
      </c>
      <c r="Q217">
        <v>138.19999999999999</v>
      </c>
      <c r="R217">
        <v>163</v>
      </c>
      <c r="S217" s="1">
        <f t="shared" si="16"/>
        <v>565.79999999999995</v>
      </c>
      <c r="T217">
        <v>148.1</v>
      </c>
      <c r="U217">
        <v>139.4</v>
      </c>
      <c r="V217" s="1">
        <f t="shared" si="17"/>
        <v>434.3</v>
      </c>
      <c r="W217">
        <v>146.80000000000001</v>
      </c>
      <c r="X217">
        <v>146.5</v>
      </c>
      <c r="Y217" s="1">
        <f t="shared" si="18"/>
        <v>289.7</v>
      </c>
      <c r="Z217">
        <v>142.69999999999999</v>
      </c>
      <c r="AA217">
        <v>143.19999999999999</v>
      </c>
      <c r="AB217">
        <v>144.9</v>
      </c>
      <c r="AC217">
        <v>123.6</v>
      </c>
      <c r="AD217">
        <v>136.80000000000001</v>
      </c>
      <c r="AE217">
        <v>150.1</v>
      </c>
      <c r="AF217">
        <v>132.19999999999999</v>
      </c>
      <c r="AG217">
        <v>136.80000000000001</v>
      </c>
      <c r="AH217">
        <v>140.1</v>
      </c>
      <c r="AI217">
        <f>SUM('Cleaned Data'!AC217,'Cleaned Data'!AE217,'Cleaned Data'!Z217,'Cleaned Data'!AA217)</f>
        <v>559.59999999999991</v>
      </c>
      <c r="AJ217" s="1">
        <f t="shared" si="19"/>
        <v>139.89999999999998</v>
      </c>
    </row>
    <row r="218" spans="1:36">
      <c r="A218" t="s">
        <v>93</v>
      </c>
      <c r="B218">
        <v>2019</v>
      </c>
      <c r="C218" t="s">
        <v>11</v>
      </c>
      <c r="D218">
        <v>136.6</v>
      </c>
      <c r="E218">
        <v>152.5</v>
      </c>
      <c r="F218">
        <v>138.19999999999999</v>
      </c>
      <c r="G218">
        <v>142.4</v>
      </c>
      <c r="H218">
        <v>123.9</v>
      </c>
      <c r="I218">
        <v>135.5</v>
      </c>
      <c r="J218">
        <v>131.69999999999999</v>
      </c>
      <c r="K218">
        <v>121.3</v>
      </c>
      <c r="L218">
        <v>108.4</v>
      </c>
      <c r="M218">
        <v>138.9</v>
      </c>
      <c r="N218">
        <v>137</v>
      </c>
      <c r="O218">
        <v>155.80000000000001</v>
      </c>
      <c r="P218" s="1">
        <f t="shared" si="15"/>
        <v>1622.6</v>
      </c>
      <c r="Q218">
        <v>137.4</v>
      </c>
      <c r="R218">
        <v>162.69999999999999</v>
      </c>
      <c r="S218" s="1">
        <f t="shared" si="16"/>
        <v>576.1</v>
      </c>
      <c r="T218">
        <v>150.6</v>
      </c>
      <c r="U218">
        <v>145.1</v>
      </c>
      <c r="V218" s="1">
        <f t="shared" si="17"/>
        <v>445.6</v>
      </c>
      <c r="W218">
        <v>149.9</v>
      </c>
      <c r="X218">
        <v>147.69999999999999</v>
      </c>
      <c r="Y218" s="1">
        <f t="shared" si="18"/>
        <v>297.79999999999995</v>
      </c>
      <c r="Z218">
        <v>146.19999999999999</v>
      </c>
      <c r="AA218">
        <v>150.1</v>
      </c>
      <c r="AB218">
        <v>149.6</v>
      </c>
      <c r="AC218">
        <v>128.6</v>
      </c>
      <c r="AD218">
        <v>142.9</v>
      </c>
      <c r="AE218">
        <v>155.19999999999999</v>
      </c>
      <c r="AF218">
        <v>133.5</v>
      </c>
      <c r="AG218">
        <v>141.69999999999999</v>
      </c>
      <c r="AH218">
        <v>141</v>
      </c>
      <c r="AI218">
        <f>SUM('Cleaned Data'!AC218,'Cleaned Data'!AE218,'Cleaned Data'!Z218,'Cleaned Data'!AA218)</f>
        <v>580.09999999999991</v>
      </c>
      <c r="AJ218" s="1">
        <f t="shared" si="19"/>
        <v>145.02499999999998</v>
      </c>
    </row>
    <row r="219" spans="1:36">
      <c r="A219" t="s">
        <v>94</v>
      </c>
      <c r="B219">
        <v>2019</v>
      </c>
      <c r="C219" t="s">
        <v>11</v>
      </c>
      <c r="D219">
        <v>138.30000000000001</v>
      </c>
      <c r="E219">
        <v>149.4</v>
      </c>
      <c r="F219">
        <v>143.5</v>
      </c>
      <c r="G219">
        <v>141.69999999999999</v>
      </c>
      <c r="H219">
        <v>118.1</v>
      </c>
      <c r="I219">
        <v>135.19999999999999</v>
      </c>
      <c r="J219">
        <v>130.5</v>
      </c>
      <c r="K219">
        <v>118.2</v>
      </c>
      <c r="L219">
        <v>110.4</v>
      </c>
      <c r="M219">
        <v>140.4</v>
      </c>
      <c r="N219">
        <v>128.1</v>
      </c>
      <c r="O219">
        <v>153.19999999999999</v>
      </c>
      <c r="P219" s="1">
        <f t="shared" si="15"/>
        <v>1616.2</v>
      </c>
      <c r="Q219">
        <v>137.30000000000001</v>
      </c>
      <c r="R219">
        <v>164.7</v>
      </c>
      <c r="S219" s="1">
        <f t="shared" si="16"/>
        <v>556.39999999999986</v>
      </c>
      <c r="T219">
        <v>143</v>
      </c>
      <c r="U219">
        <v>130.4</v>
      </c>
      <c r="V219" s="1">
        <f t="shared" si="17"/>
        <v>414.5</v>
      </c>
      <c r="W219">
        <v>141.1</v>
      </c>
      <c r="X219">
        <v>147.69999999999999</v>
      </c>
      <c r="Y219" s="1">
        <f t="shared" si="18"/>
        <v>284</v>
      </c>
      <c r="Z219">
        <v>128.6</v>
      </c>
      <c r="AA219">
        <v>136.30000000000001</v>
      </c>
      <c r="AB219">
        <v>137.80000000000001</v>
      </c>
      <c r="AC219">
        <v>118.6</v>
      </c>
      <c r="AD219">
        <v>131.9</v>
      </c>
      <c r="AE219">
        <v>146.6</v>
      </c>
      <c r="AF219">
        <v>131.69999999999999</v>
      </c>
      <c r="AG219">
        <v>131.80000000000001</v>
      </c>
      <c r="AH219">
        <v>138</v>
      </c>
      <c r="AI219">
        <f>SUM('Cleaned Data'!AC219,'Cleaned Data'!AE219,'Cleaned Data'!Z219,'Cleaned Data'!AA219)</f>
        <v>530.09999999999991</v>
      </c>
      <c r="AJ219" s="1">
        <f t="shared" si="19"/>
        <v>132.52500000000001</v>
      </c>
    </row>
    <row r="220" spans="1:36">
      <c r="A220" t="s">
        <v>6</v>
      </c>
      <c r="B220">
        <v>2019</v>
      </c>
      <c r="C220" t="s">
        <v>11</v>
      </c>
      <c r="D220">
        <v>137.1</v>
      </c>
      <c r="E220">
        <v>151.4</v>
      </c>
      <c r="F220">
        <v>140.19999999999999</v>
      </c>
      <c r="G220">
        <v>142.1</v>
      </c>
      <c r="H220">
        <v>121.8</v>
      </c>
      <c r="I220">
        <v>135.4</v>
      </c>
      <c r="J220">
        <v>131.30000000000001</v>
      </c>
      <c r="K220">
        <v>120.3</v>
      </c>
      <c r="L220">
        <v>109.1</v>
      </c>
      <c r="M220">
        <v>139.4</v>
      </c>
      <c r="N220">
        <v>133.30000000000001</v>
      </c>
      <c r="O220">
        <v>154.6</v>
      </c>
      <c r="P220" s="1">
        <f t="shared" si="15"/>
        <v>1620.1000000000001</v>
      </c>
      <c r="Q220">
        <v>137.4</v>
      </c>
      <c r="R220">
        <v>163.19999999999999</v>
      </c>
      <c r="S220" s="1">
        <f t="shared" si="16"/>
        <v>566</v>
      </c>
      <c r="T220">
        <v>147.6</v>
      </c>
      <c r="U220">
        <v>139</v>
      </c>
      <c r="V220" s="1">
        <f t="shared" si="17"/>
        <v>433</v>
      </c>
      <c r="W220">
        <v>146.4</v>
      </c>
      <c r="X220">
        <v>147.69999999999999</v>
      </c>
      <c r="Y220" s="1">
        <f t="shared" si="18"/>
        <v>291.29999999999995</v>
      </c>
      <c r="Z220">
        <v>139.5</v>
      </c>
      <c r="AA220">
        <v>143.6</v>
      </c>
      <c r="AB220">
        <v>145.1</v>
      </c>
      <c r="AC220">
        <v>123.3</v>
      </c>
      <c r="AD220">
        <v>136.69999999999999</v>
      </c>
      <c r="AE220">
        <v>150.19999999999999</v>
      </c>
      <c r="AF220">
        <v>132.80000000000001</v>
      </c>
      <c r="AG220">
        <v>136.9</v>
      </c>
      <c r="AH220">
        <v>139.6</v>
      </c>
      <c r="AI220">
        <f>SUM('Cleaned Data'!AC220,'Cleaned Data'!AE220,'Cleaned Data'!Z220,'Cleaned Data'!AA220)</f>
        <v>556.6</v>
      </c>
      <c r="AJ220" s="1">
        <f t="shared" si="19"/>
        <v>139.15</v>
      </c>
    </row>
    <row r="221" spans="1:36">
      <c r="A221" t="s">
        <v>93</v>
      </c>
      <c r="B221">
        <v>2019</v>
      </c>
      <c r="C221" t="s">
        <v>14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s="1">
        <f t="shared" si="15"/>
        <v>1622.4</v>
      </c>
      <c r="Q221">
        <v>137.19999999999999</v>
      </c>
      <c r="R221">
        <v>162.80000000000001</v>
      </c>
      <c r="S221" s="1">
        <f t="shared" si="16"/>
        <v>578.5</v>
      </c>
      <c r="T221">
        <v>150.5</v>
      </c>
      <c r="U221">
        <v>146.1</v>
      </c>
      <c r="V221" s="1">
        <f t="shared" si="17"/>
        <v>446.5</v>
      </c>
      <c r="W221">
        <v>149.9</v>
      </c>
      <c r="X221">
        <v>148.5</v>
      </c>
      <c r="Y221" s="1">
        <f t="shared" si="18"/>
        <v>298.60000000000002</v>
      </c>
      <c r="Z221">
        <v>145.30000000000001</v>
      </c>
      <c r="AA221">
        <v>150.1</v>
      </c>
      <c r="AB221">
        <v>149.9</v>
      </c>
      <c r="AC221">
        <v>129.19999999999999</v>
      </c>
      <c r="AD221">
        <v>143.4</v>
      </c>
      <c r="AE221">
        <v>155.5</v>
      </c>
      <c r="AF221">
        <v>134.9</v>
      </c>
      <c r="AG221">
        <v>142.19999999999999</v>
      </c>
      <c r="AH221">
        <v>141</v>
      </c>
      <c r="AI221">
        <f>SUM('Cleaned Data'!AC221,'Cleaned Data'!AE221,'Cleaned Data'!Z221,'Cleaned Data'!AA221)</f>
        <v>580.1</v>
      </c>
      <c r="AJ221" s="1">
        <f t="shared" si="19"/>
        <v>145.02499999999998</v>
      </c>
    </row>
    <row r="222" spans="1:36">
      <c r="A222" t="s">
        <v>94</v>
      </c>
      <c r="B222">
        <v>2019</v>
      </c>
      <c r="C222" t="s">
        <v>14</v>
      </c>
      <c r="D222">
        <v>139.4</v>
      </c>
      <c r="E222">
        <v>150.1</v>
      </c>
      <c r="F222">
        <v>145.30000000000001</v>
      </c>
      <c r="G222">
        <v>141.69999999999999</v>
      </c>
      <c r="H222">
        <v>118.4</v>
      </c>
      <c r="I222">
        <v>137</v>
      </c>
      <c r="J222">
        <v>131.6</v>
      </c>
      <c r="K222">
        <v>119.9</v>
      </c>
      <c r="L222">
        <v>110.4</v>
      </c>
      <c r="M222">
        <v>140.80000000000001</v>
      </c>
      <c r="N222">
        <v>128.30000000000001</v>
      </c>
      <c r="O222">
        <v>153.5</v>
      </c>
      <c r="P222" s="1">
        <f t="shared" si="15"/>
        <v>1626.1</v>
      </c>
      <c r="Q222">
        <v>138</v>
      </c>
      <c r="R222">
        <v>164.9</v>
      </c>
      <c r="S222" s="1">
        <f t="shared" si="16"/>
        <v>558.40000000000009</v>
      </c>
      <c r="T222">
        <v>143.30000000000001</v>
      </c>
      <c r="U222">
        <v>130.80000000000001</v>
      </c>
      <c r="V222" s="1">
        <f t="shared" si="17"/>
        <v>415.5</v>
      </c>
      <c r="W222">
        <v>141.4</v>
      </c>
      <c r="X222">
        <v>148.5</v>
      </c>
      <c r="Y222" s="1">
        <f t="shared" si="18"/>
        <v>285.10000000000002</v>
      </c>
      <c r="Z222">
        <v>127.1</v>
      </c>
      <c r="AA222">
        <v>136.6</v>
      </c>
      <c r="AB222">
        <v>138.5</v>
      </c>
      <c r="AC222">
        <v>119.2</v>
      </c>
      <c r="AD222">
        <v>132.19999999999999</v>
      </c>
      <c r="AE222">
        <v>146.6</v>
      </c>
      <c r="AF222">
        <v>133</v>
      </c>
      <c r="AG222">
        <v>132.4</v>
      </c>
      <c r="AH222">
        <v>138.6</v>
      </c>
      <c r="AI222">
        <f>SUM('Cleaned Data'!AC222,'Cleaned Data'!AE222,'Cleaned Data'!Z222,'Cleaned Data'!AA222)</f>
        <v>529.5</v>
      </c>
      <c r="AJ222" s="1">
        <f t="shared" si="19"/>
        <v>132.375</v>
      </c>
    </row>
    <row r="223" spans="1:36">
      <c r="A223" t="s">
        <v>6</v>
      </c>
      <c r="B223">
        <v>2019</v>
      </c>
      <c r="C223" t="s">
        <v>14</v>
      </c>
      <c r="D223">
        <v>137.6</v>
      </c>
      <c r="E223">
        <v>152</v>
      </c>
      <c r="F223">
        <v>141.5</v>
      </c>
      <c r="G223">
        <v>142.19999999999999</v>
      </c>
      <c r="H223">
        <v>122</v>
      </c>
      <c r="I223">
        <v>136.4</v>
      </c>
      <c r="J223">
        <v>129.69999999999999</v>
      </c>
      <c r="K223">
        <v>121</v>
      </c>
      <c r="L223">
        <v>109</v>
      </c>
      <c r="M223">
        <v>139.69999999999999</v>
      </c>
      <c r="N223">
        <v>133.6</v>
      </c>
      <c r="O223">
        <v>154.9</v>
      </c>
      <c r="P223" s="1">
        <f t="shared" si="15"/>
        <v>1623.4999999999998</v>
      </c>
      <c r="Q223">
        <v>137.5</v>
      </c>
      <c r="R223">
        <v>163.4</v>
      </c>
      <c r="S223" s="1">
        <f t="shared" si="16"/>
        <v>568.20000000000005</v>
      </c>
      <c r="T223">
        <v>147.69999999999999</v>
      </c>
      <c r="U223">
        <v>139.69999999999999</v>
      </c>
      <c r="V223" s="1">
        <f t="shared" si="17"/>
        <v>433.9</v>
      </c>
      <c r="W223">
        <v>146.5</v>
      </c>
      <c r="X223">
        <v>148.5</v>
      </c>
      <c r="Y223" s="1">
        <f t="shared" si="18"/>
        <v>292.2</v>
      </c>
      <c r="Z223">
        <v>138.4</v>
      </c>
      <c r="AA223">
        <v>143.69999999999999</v>
      </c>
      <c r="AB223">
        <v>145.6</v>
      </c>
      <c r="AC223">
        <v>123.9</v>
      </c>
      <c r="AD223">
        <v>137.1</v>
      </c>
      <c r="AE223">
        <v>150.30000000000001</v>
      </c>
      <c r="AF223">
        <v>134.1</v>
      </c>
      <c r="AG223">
        <v>137.4</v>
      </c>
      <c r="AH223">
        <v>139.9</v>
      </c>
      <c r="AI223">
        <f>SUM('Cleaned Data'!AC223,'Cleaned Data'!AE223,'Cleaned Data'!Z223,'Cleaned Data'!AA223)</f>
        <v>556.29999999999995</v>
      </c>
      <c r="AJ223" s="1">
        <f t="shared" si="19"/>
        <v>139.07500000000002</v>
      </c>
    </row>
    <row r="224" spans="1:36">
      <c r="A224" t="s">
        <v>93</v>
      </c>
      <c r="B224">
        <v>2019</v>
      </c>
      <c r="C224" t="s">
        <v>17</v>
      </c>
      <c r="D224">
        <v>136.9</v>
      </c>
      <c r="E224">
        <v>154.1</v>
      </c>
      <c r="F224">
        <v>138.69999999999999</v>
      </c>
      <c r="G224">
        <v>142.5</v>
      </c>
      <c r="H224">
        <v>124.1</v>
      </c>
      <c r="I224">
        <v>136.1</v>
      </c>
      <c r="J224">
        <v>128.19999999999999</v>
      </c>
      <c r="K224">
        <v>122.3</v>
      </c>
      <c r="L224">
        <v>108.3</v>
      </c>
      <c r="M224">
        <v>138.9</v>
      </c>
      <c r="N224">
        <v>137.4</v>
      </c>
      <c r="O224">
        <v>156.4</v>
      </c>
      <c r="P224" s="1">
        <f t="shared" si="15"/>
        <v>1623.8</v>
      </c>
      <c r="Q224">
        <v>137.30000000000001</v>
      </c>
      <c r="R224">
        <v>162.9</v>
      </c>
      <c r="S224" s="1">
        <f t="shared" si="16"/>
        <v>578.1</v>
      </c>
      <c r="T224">
        <v>150.80000000000001</v>
      </c>
      <c r="U224">
        <v>146.1</v>
      </c>
      <c r="V224" s="1">
        <f t="shared" si="17"/>
        <v>447</v>
      </c>
      <c r="W224">
        <v>150.1</v>
      </c>
      <c r="X224">
        <v>149</v>
      </c>
      <c r="Y224" s="1">
        <f t="shared" si="18"/>
        <v>299</v>
      </c>
      <c r="Z224">
        <v>146.4</v>
      </c>
      <c r="AA224">
        <v>150</v>
      </c>
      <c r="AB224">
        <v>150.4</v>
      </c>
      <c r="AC224">
        <v>129.9</v>
      </c>
      <c r="AD224">
        <v>143.80000000000001</v>
      </c>
      <c r="AE224">
        <v>155.5</v>
      </c>
      <c r="AF224">
        <v>134</v>
      </c>
      <c r="AG224">
        <v>142.4</v>
      </c>
      <c r="AH224">
        <v>141.19999999999999</v>
      </c>
      <c r="AI224">
        <f>SUM('Cleaned Data'!AC224,'Cleaned Data'!AE224,'Cleaned Data'!Z224,'Cleaned Data'!AA224)</f>
        <v>581.79999999999995</v>
      </c>
      <c r="AJ224" s="1">
        <f t="shared" si="19"/>
        <v>145.44999999999999</v>
      </c>
    </row>
    <row r="225" spans="1:36">
      <c r="A225" t="s">
        <v>94</v>
      </c>
      <c r="B225">
        <v>2019</v>
      </c>
      <c r="C225" t="s">
        <v>17</v>
      </c>
      <c r="D225">
        <v>139.69999999999999</v>
      </c>
      <c r="E225">
        <v>151.1</v>
      </c>
      <c r="F225">
        <v>142.9</v>
      </c>
      <c r="G225">
        <v>141.9</v>
      </c>
      <c r="H225">
        <v>118.4</v>
      </c>
      <c r="I225">
        <v>139.4</v>
      </c>
      <c r="J225">
        <v>141.19999999999999</v>
      </c>
      <c r="K225">
        <v>120.7</v>
      </c>
      <c r="L225">
        <v>110.4</v>
      </c>
      <c r="M225">
        <v>140.69999999999999</v>
      </c>
      <c r="N225">
        <v>128.5</v>
      </c>
      <c r="O225">
        <v>153.9</v>
      </c>
      <c r="P225" s="1">
        <f t="shared" si="15"/>
        <v>1639.9</v>
      </c>
      <c r="Q225">
        <v>139.6</v>
      </c>
      <c r="R225">
        <v>165.3</v>
      </c>
      <c r="S225" s="1">
        <f t="shared" si="16"/>
        <v>559.29999999999995</v>
      </c>
      <c r="T225">
        <v>143.5</v>
      </c>
      <c r="U225">
        <v>131.19999999999999</v>
      </c>
      <c r="V225" s="1">
        <f t="shared" si="17"/>
        <v>416.29999999999995</v>
      </c>
      <c r="W225">
        <v>141.6</v>
      </c>
      <c r="X225">
        <v>149</v>
      </c>
      <c r="Y225" s="1">
        <f t="shared" si="18"/>
        <v>285.8</v>
      </c>
      <c r="Z225">
        <v>128.80000000000001</v>
      </c>
      <c r="AA225">
        <v>136.80000000000001</v>
      </c>
      <c r="AB225">
        <v>139.19999999999999</v>
      </c>
      <c r="AC225">
        <v>119.9</v>
      </c>
      <c r="AD225">
        <v>133</v>
      </c>
      <c r="AE225">
        <v>146.69999999999999</v>
      </c>
      <c r="AF225">
        <v>132.5</v>
      </c>
      <c r="AG225">
        <v>132.80000000000001</v>
      </c>
      <c r="AH225">
        <v>139.5</v>
      </c>
      <c r="AI225">
        <f>SUM('Cleaned Data'!AC225,'Cleaned Data'!AE225,'Cleaned Data'!Z225,'Cleaned Data'!AA225)</f>
        <v>532.20000000000005</v>
      </c>
      <c r="AJ225" s="1">
        <f t="shared" si="19"/>
        <v>133.05000000000001</v>
      </c>
    </row>
    <row r="226" spans="1:36">
      <c r="A226" t="s">
        <v>6</v>
      </c>
      <c r="B226">
        <v>2019</v>
      </c>
      <c r="C226" t="s">
        <v>17</v>
      </c>
      <c r="D226">
        <v>137.80000000000001</v>
      </c>
      <c r="E226">
        <v>153</v>
      </c>
      <c r="F226">
        <v>140.30000000000001</v>
      </c>
      <c r="G226">
        <v>142.30000000000001</v>
      </c>
      <c r="H226">
        <v>122</v>
      </c>
      <c r="I226">
        <v>137.6</v>
      </c>
      <c r="J226">
        <v>132.6</v>
      </c>
      <c r="K226">
        <v>121.8</v>
      </c>
      <c r="L226">
        <v>109</v>
      </c>
      <c r="M226">
        <v>139.5</v>
      </c>
      <c r="N226">
        <v>133.69999999999999</v>
      </c>
      <c r="O226">
        <v>155.19999999999999</v>
      </c>
      <c r="P226" s="1">
        <f t="shared" si="15"/>
        <v>1629.1999999999998</v>
      </c>
      <c r="Q226">
        <v>138.1</v>
      </c>
      <c r="R226">
        <v>163.5</v>
      </c>
      <c r="S226" s="1">
        <f t="shared" si="16"/>
        <v>568.29999999999995</v>
      </c>
      <c r="T226">
        <v>147.9</v>
      </c>
      <c r="U226">
        <v>139.9</v>
      </c>
      <c r="V226" s="1">
        <f t="shared" si="17"/>
        <v>434.5</v>
      </c>
      <c r="W226">
        <v>146.69999999999999</v>
      </c>
      <c r="X226">
        <v>149</v>
      </c>
      <c r="Y226" s="1">
        <f t="shared" si="18"/>
        <v>292.8</v>
      </c>
      <c r="Z226">
        <v>139.69999999999999</v>
      </c>
      <c r="AA226">
        <v>143.80000000000001</v>
      </c>
      <c r="AB226">
        <v>146.19999999999999</v>
      </c>
      <c r="AC226">
        <v>124.6</v>
      </c>
      <c r="AD226">
        <v>137.69999999999999</v>
      </c>
      <c r="AE226">
        <v>150.30000000000001</v>
      </c>
      <c r="AF226">
        <v>133.4</v>
      </c>
      <c r="AG226">
        <v>137.69999999999999</v>
      </c>
      <c r="AH226">
        <v>140.4</v>
      </c>
      <c r="AI226">
        <f>SUM('Cleaned Data'!AC226,'Cleaned Data'!AE226,'Cleaned Data'!Z226,'Cleaned Data'!AA226)</f>
        <v>558.4</v>
      </c>
      <c r="AJ226" s="1">
        <f t="shared" si="19"/>
        <v>139.6</v>
      </c>
    </row>
    <row r="227" spans="1:36">
      <c r="A227" t="s">
        <v>93</v>
      </c>
      <c r="B227">
        <v>2019</v>
      </c>
      <c r="C227" t="s">
        <v>21</v>
      </c>
      <c r="D227">
        <v>137.4</v>
      </c>
      <c r="E227">
        <v>159.5</v>
      </c>
      <c r="F227">
        <v>134.5</v>
      </c>
      <c r="G227">
        <v>142.6</v>
      </c>
      <c r="H227">
        <v>124</v>
      </c>
      <c r="I227">
        <v>143.69999999999999</v>
      </c>
      <c r="J227">
        <v>133.4</v>
      </c>
      <c r="K227">
        <v>125.1</v>
      </c>
      <c r="L227">
        <v>109.3</v>
      </c>
      <c r="M227">
        <v>139.30000000000001</v>
      </c>
      <c r="N227">
        <v>137.69999999999999</v>
      </c>
      <c r="O227">
        <v>156.4</v>
      </c>
      <c r="P227" s="1">
        <f t="shared" si="15"/>
        <v>1644.4</v>
      </c>
      <c r="Q227">
        <v>139.19999999999999</v>
      </c>
      <c r="R227">
        <v>163.30000000000001</v>
      </c>
      <c r="S227" s="1">
        <f t="shared" si="16"/>
        <v>580.79999999999995</v>
      </c>
      <c r="T227">
        <v>151.30000000000001</v>
      </c>
      <c r="U227">
        <v>146.6</v>
      </c>
      <c r="V227" s="1">
        <f t="shared" si="17"/>
        <v>448.59999999999997</v>
      </c>
      <c r="W227">
        <v>150.69999999999999</v>
      </c>
      <c r="X227">
        <v>150.1</v>
      </c>
      <c r="Y227" s="1">
        <f t="shared" si="18"/>
        <v>299.60000000000002</v>
      </c>
      <c r="Z227">
        <v>146.9</v>
      </c>
      <c r="AA227">
        <v>149.5</v>
      </c>
      <c r="AB227">
        <v>151.30000000000001</v>
      </c>
      <c r="AC227">
        <v>130.19999999999999</v>
      </c>
      <c r="AD227">
        <v>145.9</v>
      </c>
      <c r="AE227">
        <v>156.69999999999999</v>
      </c>
      <c r="AF227">
        <v>133.9</v>
      </c>
      <c r="AG227">
        <v>142.9</v>
      </c>
      <c r="AH227">
        <v>142.4</v>
      </c>
      <c r="AI227">
        <f>SUM('Cleaned Data'!AC227,'Cleaned Data'!AE227,'Cleaned Data'!Z227,'Cleaned Data'!AA227)</f>
        <v>583.29999999999995</v>
      </c>
      <c r="AJ227" s="1">
        <f t="shared" si="19"/>
        <v>145.82499999999999</v>
      </c>
    </row>
    <row r="228" spans="1:36">
      <c r="A228" t="s">
        <v>94</v>
      </c>
      <c r="B228">
        <v>2019</v>
      </c>
      <c r="C228" t="s">
        <v>21</v>
      </c>
      <c r="D228">
        <v>140.4</v>
      </c>
      <c r="E228">
        <v>156.69999999999999</v>
      </c>
      <c r="F228">
        <v>138.30000000000001</v>
      </c>
      <c r="G228">
        <v>142.4</v>
      </c>
      <c r="H228">
        <v>118.6</v>
      </c>
      <c r="I228">
        <v>149.69999999999999</v>
      </c>
      <c r="J228">
        <v>161.6</v>
      </c>
      <c r="K228">
        <v>124.4</v>
      </c>
      <c r="L228">
        <v>111.2</v>
      </c>
      <c r="M228">
        <v>141</v>
      </c>
      <c r="N228">
        <v>128.9</v>
      </c>
      <c r="O228">
        <v>154.5</v>
      </c>
      <c r="P228" s="1">
        <f t="shared" si="15"/>
        <v>1682.6000000000001</v>
      </c>
      <c r="Q228">
        <v>143.80000000000001</v>
      </c>
      <c r="R228">
        <v>166.2</v>
      </c>
      <c r="S228" s="1">
        <f t="shared" si="16"/>
        <v>561.70000000000005</v>
      </c>
      <c r="T228">
        <v>144</v>
      </c>
      <c r="U228">
        <v>131.69999999999999</v>
      </c>
      <c r="V228" s="1">
        <f t="shared" si="17"/>
        <v>417.9</v>
      </c>
      <c r="W228">
        <v>142.19999999999999</v>
      </c>
      <c r="X228">
        <v>150.1</v>
      </c>
      <c r="Y228" s="1">
        <f t="shared" si="18"/>
        <v>287.29999999999995</v>
      </c>
      <c r="Z228">
        <v>129.4</v>
      </c>
      <c r="AA228">
        <v>137.19999999999999</v>
      </c>
      <c r="AB228">
        <v>139.80000000000001</v>
      </c>
      <c r="AC228">
        <v>120.1</v>
      </c>
      <c r="AD228">
        <v>134</v>
      </c>
      <c r="AE228">
        <v>148</v>
      </c>
      <c r="AF228">
        <v>132.6</v>
      </c>
      <c r="AG228">
        <v>133.30000000000001</v>
      </c>
      <c r="AH228">
        <v>141.5</v>
      </c>
      <c r="AI228">
        <f>SUM('Cleaned Data'!AC228,'Cleaned Data'!AE228,'Cleaned Data'!Z228,'Cleaned Data'!AA228)</f>
        <v>534.70000000000005</v>
      </c>
      <c r="AJ228" s="1">
        <f t="shared" si="19"/>
        <v>133.67500000000001</v>
      </c>
    </row>
    <row r="229" spans="1:36">
      <c r="A229" t="s">
        <v>6</v>
      </c>
      <c r="B229">
        <v>2019</v>
      </c>
      <c r="C229" t="s">
        <v>21</v>
      </c>
      <c r="D229">
        <v>138.30000000000001</v>
      </c>
      <c r="E229">
        <v>158.5</v>
      </c>
      <c r="F229">
        <v>136</v>
      </c>
      <c r="G229">
        <v>142.5</v>
      </c>
      <c r="H229">
        <v>122</v>
      </c>
      <c r="I229">
        <v>146.5</v>
      </c>
      <c r="J229">
        <v>143</v>
      </c>
      <c r="K229">
        <v>124.9</v>
      </c>
      <c r="L229">
        <v>109.9</v>
      </c>
      <c r="M229">
        <v>139.9</v>
      </c>
      <c r="N229">
        <v>134</v>
      </c>
      <c r="O229">
        <v>155.5</v>
      </c>
      <c r="P229" s="1">
        <f t="shared" si="15"/>
        <v>1657.8999999999999</v>
      </c>
      <c r="Q229">
        <v>140.9</v>
      </c>
      <c r="R229">
        <v>164.1</v>
      </c>
      <c r="S229" s="1">
        <f t="shared" si="16"/>
        <v>570.70000000000005</v>
      </c>
      <c r="T229">
        <v>148.4</v>
      </c>
      <c r="U229">
        <v>140.4</v>
      </c>
      <c r="V229" s="1">
        <f t="shared" si="17"/>
        <v>436.1</v>
      </c>
      <c r="W229">
        <v>147.30000000000001</v>
      </c>
      <c r="X229">
        <v>150.1</v>
      </c>
      <c r="Y229" s="1">
        <f t="shared" si="18"/>
        <v>293.79999999999995</v>
      </c>
      <c r="Z229">
        <v>140.30000000000001</v>
      </c>
      <c r="AA229">
        <v>143.69999999999999</v>
      </c>
      <c r="AB229">
        <v>146.9</v>
      </c>
      <c r="AC229">
        <v>124.9</v>
      </c>
      <c r="AD229">
        <v>139.19999999999999</v>
      </c>
      <c r="AE229">
        <v>151.6</v>
      </c>
      <c r="AF229">
        <v>133.4</v>
      </c>
      <c r="AG229">
        <v>138.19999999999999</v>
      </c>
      <c r="AH229">
        <v>142</v>
      </c>
      <c r="AI229">
        <f>SUM('Cleaned Data'!AC229,'Cleaned Data'!AE229,'Cleaned Data'!Z229,'Cleaned Data'!AA229)</f>
        <v>560.5</v>
      </c>
      <c r="AJ229" s="1">
        <f t="shared" si="19"/>
        <v>140.125</v>
      </c>
    </row>
    <row r="230" spans="1:36">
      <c r="A230" t="s">
        <v>93</v>
      </c>
      <c r="B230">
        <v>2019</v>
      </c>
      <c r="C230" t="s">
        <v>23</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s="1">
        <f t="shared" si="15"/>
        <v>1666.2</v>
      </c>
      <c r="Q230">
        <v>141</v>
      </c>
      <c r="R230">
        <v>164.2</v>
      </c>
      <c r="S230" s="1">
        <f t="shared" si="16"/>
        <v>583.40000000000009</v>
      </c>
      <c r="T230">
        <v>151.4</v>
      </c>
      <c r="U230">
        <v>146.5</v>
      </c>
      <c r="V230" s="1">
        <f t="shared" si="17"/>
        <v>448.59999999999997</v>
      </c>
      <c r="W230">
        <v>150.69999999999999</v>
      </c>
      <c r="X230">
        <v>149.4</v>
      </c>
      <c r="Y230" s="1">
        <f t="shared" si="18"/>
        <v>299</v>
      </c>
      <c r="Z230">
        <v>147.80000000000001</v>
      </c>
      <c r="AA230">
        <v>149.6</v>
      </c>
      <c r="AB230">
        <v>151.69999999999999</v>
      </c>
      <c r="AC230">
        <v>130.19999999999999</v>
      </c>
      <c r="AD230">
        <v>146.4</v>
      </c>
      <c r="AE230">
        <v>157.69999999999999</v>
      </c>
      <c r="AF230">
        <v>134.80000000000001</v>
      </c>
      <c r="AG230">
        <v>143.30000000000001</v>
      </c>
      <c r="AH230">
        <v>143.6</v>
      </c>
      <c r="AI230">
        <f>SUM('Cleaned Data'!AC230,'Cleaned Data'!AE230,'Cleaned Data'!Z230,'Cleaned Data'!AA230)</f>
        <v>585.29999999999995</v>
      </c>
      <c r="AJ230" s="1">
        <f t="shared" si="19"/>
        <v>146.32499999999999</v>
      </c>
    </row>
    <row r="231" spans="1:36">
      <c r="A231" t="s">
        <v>94</v>
      </c>
      <c r="B231">
        <v>2019</v>
      </c>
      <c r="C231" t="s">
        <v>23</v>
      </c>
      <c r="D231">
        <v>140.69999999999999</v>
      </c>
      <c r="E231">
        <v>159.6</v>
      </c>
      <c r="F231">
        <v>140.4</v>
      </c>
      <c r="G231">
        <v>143.4</v>
      </c>
      <c r="H231">
        <v>118.6</v>
      </c>
      <c r="I231">
        <v>150.9</v>
      </c>
      <c r="J231">
        <v>169.8</v>
      </c>
      <c r="K231">
        <v>127.4</v>
      </c>
      <c r="L231">
        <v>111.8</v>
      </c>
      <c r="M231">
        <v>141</v>
      </c>
      <c r="N231">
        <v>129</v>
      </c>
      <c r="O231">
        <v>155.1</v>
      </c>
      <c r="P231" s="1">
        <f t="shared" si="15"/>
        <v>1704.3000000000002</v>
      </c>
      <c r="Q231">
        <v>145.6</v>
      </c>
      <c r="R231">
        <v>166.7</v>
      </c>
      <c r="S231" s="1">
        <f t="shared" si="16"/>
        <v>563.70000000000005</v>
      </c>
      <c r="T231">
        <v>144.30000000000001</v>
      </c>
      <c r="U231">
        <v>131.69999999999999</v>
      </c>
      <c r="V231" s="1">
        <f t="shared" si="17"/>
        <v>418.4</v>
      </c>
      <c r="W231">
        <v>142.4</v>
      </c>
      <c r="X231">
        <v>149.4</v>
      </c>
      <c r="Y231" s="1">
        <f t="shared" si="18"/>
        <v>286.8</v>
      </c>
      <c r="Z231">
        <v>130.5</v>
      </c>
      <c r="AA231">
        <v>137.4</v>
      </c>
      <c r="AB231">
        <v>140.30000000000001</v>
      </c>
      <c r="AC231">
        <v>119.6</v>
      </c>
      <c r="AD231">
        <v>134.30000000000001</v>
      </c>
      <c r="AE231">
        <v>148.9</v>
      </c>
      <c r="AF231">
        <v>133.69999999999999</v>
      </c>
      <c r="AG231">
        <v>133.6</v>
      </c>
      <c r="AH231">
        <v>142.1</v>
      </c>
      <c r="AI231">
        <f>SUM('Cleaned Data'!AC231,'Cleaned Data'!AE231,'Cleaned Data'!Z231,'Cleaned Data'!AA231)</f>
        <v>536.4</v>
      </c>
      <c r="AJ231" s="1">
        <f t="shared" si="19"/>
        <v>134.1</v>
      </c>
    </row>
    <row r="232" spans="1:36">
      <c r="A232" t="s">
        <v>6</v>
      </c>
      <c r="B232">
        <v>2019</v>
      </c>
      <c r="C232" t="s">
        <v>23</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s="1">
        <f t="shared" si="15"/>
        <v>1679.8999999999999</v>
      </c>
      <c r="Q232">
        <v>142.69999999999999</v>
      </c>
      <c r="R232">
        <v>164.9</v>
      </c>
      <c r="S232" s="1">
        <f t="shared" si="16"/>
        <v>573</v>
      </c>
      <c r="T232">
        <v>148.6</v>
      </c>
      <c r="U232">
        <v>140.4</v>
      </c>
      <c r="V232" s="1">
        <f t="shared" si="17"/>
        <v>436.4</v>
      </c>
      <c r="W232">
        <v>147.4</v>
      </c>
      <c r="X232">
        <v>149.4</v>
      </c>
      <c r="Y232" s="1">
        <f t="shared" si="18"/>
        <v>293.20000000000005</v>
      </c>
      <c r="Z232">
        <v>141.19999999999999</v>
      </c>
      <c r="AA232">
        <v>143.80000000000001</v>
      </c>
      <c r="AB232">
        <v>147.4</v>
      </c>
      <c r="AC232">
        <v>124.6</v>
      </c>
      <c r="AD232">
        <v>139.6</v>
      </c>
      <c r="AE232">
        <v>152.5</v>
      </c>
      <c r="AF232">
        <v>134.30000000000001</v>
      </c>
      <c r="AG232">
        <v>138.6</v>
      </c>
      <c r="AH232">
        <v>142.9</v>
      </c>
      <c r="AI232">
        <f>SUM('Cleaned Data'!AC232,'Cleaned Data'!AE232,'Cleaned Data'!Z232,'Cleaned Data'!AA232)</f>
        <v>562.1</v>
      </c>
      <c r="AJ232" s="1">
        <f t="shared" si="19"/>
        <v>140.52500000000001</v>
      </c>
    </row>
    <row r="233" spans="1:36">
      <c r="A233" t="s">
        <v>93</v>
      </c>
      <c r="B233">
        <v>2019</v>
      </c>
      <c r="C233" t="s">
        <v>25</v>
      </c>
      <c r="D233">
        <v>138.4</v>
      </c>
      <c r="E233">
        <v>164</v>
      </c>
      <c r="F233">
        <v>138.4</v>
      </c>
      <c r="G233">
        <v>143.9</v>
      </c>
      <c r="H233">
        <v>124.4</v>
      </c>
      <c r="I233">
        <v>146.4</v>
      </c>
      <c r="J233">
        <v>150.1</v>
      </c>
      <c r="K233">
        <v>130.6</v>
      </c>
      <c r="L233">
        <v>110.8</v>
      </c>
      <c r="M233">
        <v>141.69999999999999</v>
      </c>
      <c r="N233">
        <v>138.5</v>
      </c>
      <c r="O233">
        <v>156.69999999999999</v>
      </c>
      <c r="P233" s="1">
        <f t="shared" si="15"/>
        <v>1688.4</v>
      </c>
      <c r="Q233">
        <v>143</v>
      </c>
      <c r="R233">
        <v>164.5</v>
      </c>
      <c r="S233" s="1">
        <f t="shared" si="16"/>
        <v>586.6</v>
      </c>
      <c r="T233">
        <v>151.6</v>
      </c>
      <c r="U233">
        <v>146.6</v>
      </c>
      <c r="V233" s="1">
        <f t="shared" si="17"/>
        <v>449.1</v>
      </c>
      <c r="W233">
        <v>150.9</v>
      </c>
      <c r="X233">
        <v>150.6</v>
      </c>
      <c r="Y233" s="1">
        <f t="shared" si="18"/>
        <v>300.60000000000002</v>
      </c>
      <c r="Z233">
        <v>146.80000000000001</v>
      </c>
      <c r="AA233">
        <v>150</v>
      </c>
      <c r="AB233">
        <v>152.19999999999999</v>
      </c>
      <c r="AC233">
        <v>131.19999999999999</v>
      </c>
      <c r="AD233">
        <v>147.5</v>
      </c>
      <c r="AE233">
        <v>159.1</v>
      </c>
      <c r="AF233">
        <v>136.1</v>
      </c>
      <c r="AG233">
        <v>144.19999999999999</v>
      </c>
      <c r="AH233">
        <v>144.9</v>
      </c>
      <c r="AI233">
        <f>SUM('Cleaned Data'!AC233,'Cleaned Data'!AE233,'Cleaned Data'!Z233,'Cleaned Data'!AA233)</f>
        <v>587.09999999999991</v>
      </c>
      <c r="AJ233" s="1">
        <f t="shared" si="19"/>
        <v>146.77499999999998</v>
      </c>
    </row>
    <row r="234" spans="1:36">
      <c r="A234" t="s">
        <v>94</v>
      </c>
      <c r="B234">
        <v>2019</v>
      </c>
      <c r="C234" t="s">
        <v>25</v>
      </c>
      <c r="D234">
        <v>141.4</v>
      </c>
      <c r="E234">
        <v>160.19999999999999</v>
      </c>
      <c r="F234">
        <v>142.5</v>
      </c>
      <c r="G234">
        <v>144.1</v>
      </c>
      <c r="H234">
        <v>119.3</v>
      </c>
      <c r="I234">
        <v>154.69999999999999</v>
      </c>
      <c r="J234">
        <v>180.1</v>
      </c>
      <c r="K234">
        <v>128.9</v>
      </c>
      <c r="L234">
        <v>111.8</v>
      </c>
      <c r="M234">
        <v>141.6</v>
      </c>
      <c r="N234">
        <v>129.5</v>
      </c>
      <c r="O234">
        <v>155.6</v>
      </c>
      <c r="P234" s="1">
        <f t="shared" si="15"/>
        <v>1727.9</v>
      </c>
      <c r="Q234">
        <v>147.69999999999999</v>
      </c>
      <c r="R234">
        <v>167.2</v>
      </c>
      <c r="S234" s="1">
        <f t="shared" si="16"/>
        <v>566.79999999999995</v>
      </c>
      <c r="T234">
        <v>144.69999999999999</v>
      </c>
      <c r="U234">
        <v>131.9</v>
      </c>
      <c r="V234" s="1">
        <f t="shared" si="17"/>
        <v>419.3</v>
      </c>
      <c r="W234">
        <v>142.69999999999999</v>
      </c>
      <c r="X234">
        <v>150.6</v>
      </c>
      <c r="Y234" s="1">
        <f t="shared" si="18"/>
        <v>288.29999999999995</v>
      </c>
      <c r="Z234">
        <v>127</v>
      </c>
      <c r="AA234">
        <v>137.69999999999999</v>
      </c>
      <c r="AB234">
        <v>140.80000000000001</v>
      </c>
      <c r="AC234">
        <v>120.6</v>
      </c>
      <c r="AD234">
        <v>135</v>
      </c>
      <c r="AE234">
        <v>150.4</v>
      </c>
      <c r="AF234">
        <v>135.1</v>
      </c>
      <c r="AG234">
        <v>134.5</v>
      </c>
      <c r="AH234">
        <v>143.30000000000001</v>
      </c>
      <c r="AI234">
        <f>SUM('Cleaned Data'!AC234,'Cleaned Data'!AE234,'Cleaned Data'!Z234,'Cleaned Data'!AA234)</f>
        <v>535.70000000000005</v>
      </c>
      <c r="AJ234" s="1">
        <f t="shared" si="19"/>
        <v>133.92500000000001</v>
      </c>
    </row>
    <row r="235" spans="1:36">
      <c r="A235" t="s">
        <v>6</v>
      </c>
      <c r="B235">
        <v>2019</v>
      </c>
      <c r="C235" t="s">
        <v>25</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s="1">
        <f t="shared" si="15"/>
        <v>1702.8</v>
      </c>
      <c r="Q235">
        <v>144.69999999999999</v>
      </c>
      <c r="R235">
        <v>165.2</v>
      </c>
      <c r="S235" s="1">
        <f t="shared" si="16"/>
        <v>576.09999999999991</v>
      </c>
      <c r="T235">
        <v>148.9</v>
      </c>
      <c r="U235">
        <v>140.5</v>
      </c>
      <c r="V235" s="1">
        <f t="shared" si="17"/>
        <v>437</v>
      </c>
      <c r="W235">
        <v>147.6</v>
      </c>
      <c r="X235">
        <v>150.6</v>
      </c>
      <c r="Y235" s="1">
        <f t="shared" si="18"/>
        <v>294.79999999999995</v>
      </c>
      <c r="Z235">
        <v>139.30000000000001</v>
      </c>
      <c r="AA235">
        <v>144.19999999999999</v>
      </c>
      <c r="AB235">
        <v>147.9</v>
      </c>
      <c r="AC235">
        <v>125.6</v>
      </c>
      <c r="AD235">
        <v>140.5</v>
      </c>
      <c r="AE235">
        <v>154</v>
      </c>
      <c r="AF235">
        <v>135.69999999999999</v>
      </c>
      <c r="AG235">
        <v>139.5</v>
      </c>
      <c r="AH235">
        <v>144.19999999999999</v>
      </c>
      <c r="AI235">
        <f>SUM('Cleaned Data'!AC235,'Cleaned Data'!AE235,'Cleaned Data'!Z235,'Cleaned Data'!AA235)</f>
        <v>563.1</v>
      </c>
      <c r="AJ235" s="1">
        <f t="shared" si="19"/>
        <v>140.77500000000001</v>
      </c>
    </row>
    <row r="236" spans="1:36">
      <c r="A236" t="s">
        <v>93</v>
      </c>
      <c r="B236">
        <v>2019</v>
      </c>
      <c r="C236" t="s">
        <v>27</v>
      </c>
      <c r="D236">
        <v>139.19999999999999</v>
      </c>
      <c r="E236">
        <v>161.9</v>
      </c>
      <c r="F236">
        <v>137.1</v>
      </c>
      <c r="G236">
        <v>144.6</v>
      </c>
      <c r="H236">
        <v>124.7</v>
      </c>
      <c r="I236">
        <v>145.5</v>
      </c>
      <c r="J236">
        <v>156.19999999999999</v>
      </c>
      <c r="K236">
        <v>131.5</v>
      </c>
      <c r="L236">
        <v>111.7</v>
      </c>
      <c r="M236">
        <v>142.69999999999999</v>
      </c>
      <c r="N236">
        <v>138.5</v>
      </c>
      <c r="O236">
        <v>156.9</v>
      </c>
      <c r="P236" s="1">
        <f t="shared" si="15"/>
        <v>1696</v>
      </c>
      <c r="Q236">
        <v>144</v>
      </c>
      <c r="R236">
        <v>165.1</v>
      </c>
      <c r="S236" s="1">
        <f t="shared" si="16"/>
        <v>590.40000000000009</v>
      </c>
      <c r="T236">
        <v>151.80000000000001</v>
      </c>
      <c r="U236">
        <v>146.6</v>
      </c>
      <c r="V236" s="1">
        <f t="shared" si="17"/>
        <v>449.5</v>
      </c>
      <c r="W236">
        <v>151.1</v>
      </c>
      <c r="X236">
        <v>151.6</v>
      </c>
      <c r="Y236" s="1">
        <f t="shared" si="18"/>
        <v>301.79999999999995</v>
      </c>
      <c r="Z236">
        <v>146.4</v>
      </c>
      <c r="AA236">
        <v>150.19999999999999</v>
      </c>
      <c r="AB236">
        <v>152.69999999999999</v>
      </c>
      <c r="AC236">
        <v>131.4</v>
      </c>
      <c r="AD236">
        <v>148</v>
      </c>
      <c r="AE236">
        <v>159.69999999999999</v>
      </c>
      <c r="AF236">
        <v>138.80000000000001</v>
      </c>
      <c r="AG236">
        <v>144.9</v>
      </c>
      <c r="AH236">
        <v>145.69999999999999</v>
      </c>
      <c r="AI236">
        <f>SUM('Cleaned Data'!AC236,'Cleaned Data'!AE236,'Cleaned Data'!Z236,'Cleaned Data'!AA236)</f>
        <v>587.70000000000005</v>
      </c>
      <c r="AJ236" s="1">
        <f t="shared" si="19"/>
        <v>146.92500000000001</v>
      </c>
    </row>
    <row r="237" spans="1:36">
      <c r="A237" t="s">
        <v>94</v>
      </c>
      <c r="B237">
        <v>2019</v>
      </c>
      <c r="C237" t="s">
        <v>27</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s="1">
        <f t="shared" si="15"/>
        <v>1739.2999999999997</v>
      </c>
      <c r="Q237">
        <v>149.1</v>
      </c>
      <c r="R237">
        <v>167.9</v>
      </c>
      <c r="S237" s="1">
        <f t="shared" si="16"/>
        <v>570.90000000000009</v>
      </c>
      <c r="T237">
        <v>145</v>
      </c>
      <c r="U237">
        <v>132.19999999999999</v>
      </c>
      <c r="V237" s="1">
        <f t="shared" si="17"/>
        <v>420.2</v>
      </c>
      <c r="W237">
        <v>143</v>
      </c>
      <c r="X237">
        <v>151.6</v>
      </c>
      <c r="Y237" s="1">
        <f t="shared" si="18"/>
        <v>289.7</v>
      </c>
      <c r="Z237">
        <v>125.5</v>
      </c>
      <c r="AA237">
        <v>138.1</v>
      </c>
      <c r="AB237">
        <v>141.5</v>
      </c>
      <c r="AC237">
        <v>120.8</v>
      </c>
      <c r="AD237">
        <v>135.4</v>
      </c>
      <c r="AE237">
        <v>151.5</v>
      </c>
      <c r="AF237">
        <v>137.80000000000001</v>
      </c>
      <c r="AG237">
        <v>135.30000000000001</v>
      </c>
      <c r="AH237">
        <v>144.19999999999999</v>
      </c>
      <c r="AI237">
        <f>SUM('Cleaned Data'!AC237,'Cleaned Data'!AE237,'Cleaned Data'!Z237,'Cleaned Data'!AA237)</f>
        <v>535.9</v>
      </c>
      <c r="AJ237" s="1">
        <f t="shared" si="19"/>
        <v>133.97499999999999</v>
      </c>
    </row>
    <row r="238" spans="1:36">
      <c r="A238" t="s">
        <v>6</v>
      </c>
      <c r="B238">
        <v>2019</v>
      </c>
      <c r="C238" t="s">
        <v>27</v>
      </c>
      <c r="D238">
        <v>140.1</v>
      </c>
      <c r="E238">
        <v>160.6</v>
      </c>
      <c r="F238">
        <v>138.5</v>
      </c>
      <c r="G238">
        <v>144.69999999999999</v>
      </c>
      <c r="H238">
        <v>122.9</v>
      </c>
      <c r="I238">
        <v>149.4</v>
      </c>
      <c r="J238">
        <v>167.4</v>
      </c>
      <c r="K238">
        <v>130.9</v>
      </c>
      <c r="L238">
        <v>112</v>
      </c>
      <c r="M238">
        <v>142.6</v>
      </c>
      <c r="N238">
        <v>134.9</v>
      </c>
      <c r="O238">
        <v>156.6</v>
      </c>
      <c r="P238" s="1">
        <f t="shared" si="15"/>
        <v>1711.6</v>
      </c>
      <c r="Q238">
        <v>145.9</v>
      </c>
      <c r="R238">
        <v>165.8</v>
      </c>
      <c r="S238" s="1">
        <f t="shared" si="16"/>
        <v>580</v>
      </c>
      <c r="T238">
        <v>149.1</v>
      </c>
      <c r="U238">
        <v>140.6</v>
      </c>
      <c r="V238" s="1">
        <f t="shared" si="17"/>
        <v>437.6</v>
      </c>
      <c r="W238">
        <v>147.9</v>
      </c>
      <c r="X238">
        <v>151.6</v>
      </c>
      <c r="Y238" s="1">
        <f t="shared" si="18"/>
        <v>296.10000000000002</v>
      </c>
      <c r="Z238">
        <v>138.5</v>
      </c>
      <c r="AA238">
        <v>144.5</v>
      </c>
      <c r="AB238">
        <v>148.5</v>
      </c>
      <c r="AC238">
        <v>125.8</v>
      </c>
      <c r="AD238">
        <v>140.9</v>
      </c>
      <c r="AE238">
        <v>154.9</v>
      </c>
      <c r="AF238">
        <v>138.4</v>
      </c>
      <c r="AG238">
        <v>140.19999999999999</v>
      </c>
      <c r="AH238">
        <v>145</v>
      </c>
      <c r="AI238">
        <f>SUM('Cleaned Data'!AC238,'Cleaned Data'!AE238,'Cleaned Data'!Z238,'Cleaned Data'!AA238)</f>
        <v>563.70000000000005</v>
      </c>
      <c r="AJ238" s="1">
        <f t="shared" si="19"/>
        <v>140.92500000000001</v>
      </c>
    </row>
    <row r="239" spans="1:36">
      <c r="A239" t="s">
        <v>93</v>
      </c>
      <c r="B239">
        <v>2019</v>
      </c>
      <c r="C239" t="s">
        <v>29</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s="1">
        <f t="shared" si="15"/>
        <v>1710.1999999999998</v>
      </c>
      <c r="Q239">
        <v>145.5</v>
      </c>
      <c r="R239">
        <v>165.7</v>
      </c>
      <c r="S239" s="1">
        <f t="shared" si="16"/>
        <v>592.70000000000005</v>
      </c>
      <c r="T239">
        <v>151.69999999999999</v>
      </c>
      <c r="U239">
        <v>146.6</v>
      </c>
      <c r="V239" s="1">
        <f t="shared" si="17"/>
        <v>449.29999999999995</v>
      </c>
      <c r="W239">
        <v>151</v>
      </c>
      <c r="X239">
        <v>152.19999999999999</v>
      </c>
      <c r="Y239" s="1">
        <f t="shared" si="18"/>
        <v>302.5</v>
      </c>
      <c r="Z239">
        <v>146.9</v>
      </c>
      <c r="AA239">
        <v>150.30000000000001</v>
      </c>
      <c r="AB239">
        <v>153.4</v>
      </c>
      <c r="AC239">
        <v>131.6</v>
      </c>
      <c r="AD239">
        <v>148.30000000000001</v>
      </c>
      <c r="AE239">
        <v>160.19999999999999</v>
      </c>
      <c r="AF239">
        <v>140.19999999999999</v>
      </c>
      <c r="AG239">
        <v>145.4</v>
      </c>
      <c r="AH239">
        <v>146.69999999999999</v>
      </c>
      <c r="AI239">
        <f>SUM('Cleaned Data'!AC239,'Cleaned Data'!AE239,'Cleaned Data'!Z239,'Cleaned Data'!AA239)</f>
        <v>589</v>
      </c>
      <c r="AJ239" s="1">
        <f t="shared" si="19"/>
        <v>147.25</v>
      </c>
    </row>
    <row r="240" spans="1:36">
      <c r="A240" t="s">
        <v>94</v>
      </c>
      <c r="B240">
        <v>2019</v>
      </c>
      <c r="C240" t="s">
        <v>29</v>
      </c>
      <c r="D240">
        <v>142.69999999999999</v>
      </c>
      <c r="E240">
        <v>158.69999999999999</v>
      </c>
      <c r="F240">
        <v>141.6</v>
      </c>
      <c r="G240">
        <v>144.9</v>
      </c>
      <c r="H240">
        <v>120.8</v>
      </c>
      <c r="I240">
        <v>149.80000000000001</v>
      </c>
      <c r="J240">
        <v>192.4</v>
      </c>
      <c r="K240">
        <v>130.30000000000001</v>
      </c>
      <c r="L240">
        <v>114</v>
      </c>
      <c r="M240">
        <v>143.80000000000001</v>
      </c>
      <c r="N240">
        <v>130</v>
      </c>
      <c r="O240">
        <v>156.4</v>
      </c>
      <c r="P240" s="1">
        <f t="shared" si="15"/>
        <v>1744.9</v>
      </c>
      <c r="Q240">
        <v>149.5</v>
      </c>
      <c r="R240">
        <v>168.6</v>
      </c>
      <c r="S240" s="1">
        <f t="shared" si="16"/>
        <v>573.5</v>
      </c>
      <c r="T240">
        <v>145.30000000000001</v>
      </c>
      <c r="U240">
        <v>132.19999999999999</v>
      </c>
      <c r="V240" s="1">
        <f t="shared" si="17"/>
        <v>420.8</v>
      </c>
      <c r="W240">
        <v>143.30000000000001</v>
      </c>
      <c r="X240">
        <v>152.19999999999999</v>
      </c>
      <c r="Y240" s="1">
        <f t="shared" si="18"/>
        <v>290.5</v>
      </c>
      <c r="Z240">
        <v>126.6</v>
      </c>
      <c r="AA240">
        <v>138.30000000000001</v>
      </c>
      <c r="AB240">
        <v>141.9</v>
      </c>
      <c r="AC240">
        <v>121.2</v>
      </c>
      <c r="AD240">
        <v>135.9</v>
      </c>
      <c r="AE240">
        <v>151.6</v>
      </c>
      <c r="AF240">
        <v>139</v>
      </c>
      <c r="AG240">
        <v>135.69999999999999</v>
      </c>
      <c r="AH240">
        <v>144.69999999999999</v>
      </c>
      <c r="AI240">
        <f>SUM('Cleaned Data'!AC240,'Cleaned Data'!AE240,'Cleaned Data'!Z240,'Cleaned Data'!AA240)</f>
        <v>537.70000000000005</v>
      </c>
      <c r="AJ240" s="1">
        <f t="shared" si="19"/>
        <v>134.42500000000001</v>
      </c>
    </row>
    <row r="241" spans="1:36">
      <c r="A241" t="s">
        <v>6</v>
      </c>
      <c r="B241">
        <v>2019</v>
      </c>
      <c r="C241" t="s">
        <v>29</v>
      </c>
      <c r="D241">
        <v>140.9</v>
      </c>
      <c r="E241">
        <v>160.80000000000001</v>
      </c>
      <c r="F241">
        <v>139.6</v>
      </c>
      <c r="G241">
        <v>145.4</v>
      </c>
      <c r="H241">
        <v>123.5</v>
      </c>
      <c r="I241">
        <v>146.6</v>
      </c>
      <c r="J241">
        <v>173.2</v>
      </c>
      <c r="K241">
        <v>131.6</v>
      </c>
      <c r="L241">
        <v>113.2</v>
      </c>
      <c r="M241">
        <v>144.1</v>
      </c>
      <c r="N241">
        <v>135</v>
      </c>
      <c r="O241">
        <v>156.80000000000001</v>
      </c>
      <c r="P241" s="1">
        <f t="shared" si="15"/>
        <v>1722.6999999999998</v>
      </c>
      <c r="Q241">
        <v>147</v>
      </c>
      <c r="R241">
        <v>166.5</v>
      </c>
      <c r="S241" s="1">
        <f t="shared" si="16"/>
        <v>582.5</v>
      </c>
      <c r="T241">
        <v>149.19999999999999</v>
      </c>
      <c r="U241">
        <v>140.6</v>
      </c>
      <c r="V241" s="1">
        <f t="shared" si="17"/>
        <v>437.69999999999993</v>
      </c>
      <c r="W241">
        <v>147.9</v>
      </c>
      <c r="X241">
        <v>152.19999999999999</v>
      </c>
      <c r="Y241" s="1">
        <f t="shared" si="18"/>
        <v>296.79999999999995</v>
      </c>
      <c r="Z241">
        <v>139.19999999999999</v>
      </c>
      <c r="AA241">
        <v>144.6</v>
      </c>
      <c r="AB241">
        <v>149</v>
      </c>
      <c r="AC241">
        <v>126.1</v>
      </c>
      <c r="AD241">
        <v>141.30000000000001</v>
      </c>
      <c r="AE241">
        <v>155.19999999999999</v>
      </c>
      <c r="AF241">
        <v>139.69999999999999</v>
      </c>
      <c r="AG241">
        <v>140.69999999999999</v>
      </c>
      <c r="AH241">
        <v>145.80000000000001</v>
      </c>
      <c r="AI241">
        <f>SUM('Cleaned Data'!AC241,'Cleaned Data'!AE241,'Cleaned Data'!Z241,'Cleaned Data'!AA241)</f>
        <v>565.09999999999991</v>
      </c>
      <c r="AJ241" s="1">
        <f t="shared" si="19"/>
        <v>141.27499999999998</v>
      </c>
    </row>
    <row r="242" spans="1:36">
      <c r="A242" t="s">
        <v>93</v>
      </c>
      <c r="B242">
        <v>2019</v>
      </c>
      <c r="C242" t="s">
        <v>31</v>
      </c>
      <c r="D242">
        <v>141</v>
      </c>
      <c r="E242">
        <v>161.6</v>
      </c>
      <c r="F242">
        <v>141.19999999999999</v>
      </c>
      <c r="G242">
        <v>146.5</v>
      </c>
      <c r="H242">
        <v>125.6</v>
      </c>
      <c r="I242">
        <v>145.69999999999999</v>
      </c>
      <c r="J242">
        <v>178.8</v>
      </c>
      <c r="K242">
        <v>133.1</v>
      </c>
      <c r="L242">
        <v>113.6</v>
      </c>
      <c r="M242">
        <v>145.5</v>
      </c>
      <c r="N242">
        <v>138.6</v>
      </c>
      <c r="O242">
        <v>157.4</v>
      </c>
      <c r="P242" s="1">
        <f t="shared" si="15"/>
        <v>1738.3000000000002</v>
      </c>
      <c r="Q242">
        <v>148.30000000000001</v>
      </c>
      <c r="R242">
        <v>166.3</v>
      </c>
      <c r="S242" s="1">
        <f t="shared" si="16"/>
        <v>593.9</v>
      </c>
      <c r="T242">
        <v>151.69999999999999</v>
      </c>
      <c r="U242">
        <v>146.69999999999999</v>
      </c>
      <c r="V242" s="1">
        <f t="shared" si="17"/>
        <v>449.4</v>
      </c>
      <c r="W242">
        <v>151</v>
      </c>
      <c r="X242">
        <v>153</v>
      </c>
      <c r="Y242" s="1">
        <f t="shared" si="18"/>
        <v>303.60000000000002</v>
      </c>
      <c r="Z242">
        <v>147.69999999999999</v>
      </c>
      <c r="AA242">
        <v>150.6</v>
      </c>
      <c r="AB242">
        <v>153.69999999999999</v>
      </c>
      <c r="AC242">
        <v>131.69999999999999</v>
      </c>
      <c r="AD242">
        <v>148.69999999999999</v>
      </c>
      <c r="AE242">
        <v>160.69999999999999</v>
      </c>
      <c r="AF242">
        <v>140.30000000000001</v>
      </c>
      <c r="AG242">
        <v>145.69999999999999</v>
      </c>
      <c r="AH242">
        <v>148.30000000000001</v>
      </c>
      <c r="AI242">
        <f>SUM('Cleaned Data'!AC242,'Cleaned Data'!AE242,'Cleaned Data'!Z242,'Cleaned Data'!AA242)</f>
        <v>590.69999999999993</v>
      </c>
      <c r="AJ242" s="1">
        <f t="shared" si="19"/>
        <v>147.67500000000001</v>
      </c>
    </row>
    <row r="243" spans="1:36">
      <c r="A243" t="s">
        <v>94</v>
      </c>
      <c r="B243">
        <v>2019</v>
      </c>
      <c r="C243" t="s">
        <v>31</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s="1">
        <f t="shared" si="15"/>
        <v>1772.4</v>
      </c>
      <c r="Q243">
        <v>151.9</v>
      </c>
      <c r="R243">
        <v>169.3</v>
      </c>
      <c r="S243" s="1">
        <f t="shared" si="16"/>
        <v>575.20000000000005</v>
      </c>
      <c r="T243">
        <v>145.9</v>
      </c>
      <c r="U243">
        <v>132.4</v>
      </c>
      <c r="V243" s="1">
        <f t="shared" si="17"/>
        <v>422.20000000000005</v>
      </c>
      <c r="W243">
        <v>143.9</v>
      </c>
      <c r="X243">
        <v>153</v>
      </c>
      <c r="Y243" s="1">
        <f t="shared" si="18"/>
        <v>291.7</v>
      </c>
      <c r="Z243">
        <v>128.9</v>
      </c>
      <c r="AA243">
        <v>138.69999999999999</v>
      </c>
      <c r="AB243">
        <v>142.4</v>
      </c>
      <c r="AC243">
        <v>121.5</v>
      </c>
      <c r="AD243">
        <v>136.19999999999999</v>
      </c>
      <c r="AE243">
        <v>151.69999999999999</v>
      </c>
      <c r="AF243">
        <v>139.5</v>
      </c>
      <c r="AG243">
        <v>136</v>
      </c>
      <c r="AH243">
        <v>146</v>
      </c>
      <c r="AI243">
        <f>SUM('Cleaned Data'!AC243,'Cleaned Data'!AE243,'Cleaned Data'!Z243,'Cleaned Data'!AA243)</f>
        <v>540.79999999999995</v>
      </c>
      <c r="AJ243" s="1">
        <f t="shared" si="19"/>
        <v>135.19999999999999</v>
      </c>
    </row>
    <row r="244" spans="1:36">
      <c r="A244" t="s">
        <v>6</v>
      </c>
      <c r="B244">
        <v>2019</v>
      </c>
      <c r="C244" t="s">
        <v>31</v>
      </c>
      <c r="D244">
        <v>141.80000000000001</v>
      </c>
      <c r="E244">
        <v>161</v>
      </c>
      <c r="F244">
        <v>142.6</v>
      </c>
      <c r="G244">
        <v>146.19999999999999</v>
      </c>
      <c r="H244">
        <v>123.9</v>
      </c>
      <c r="I244">
        <v>148</v>
      </c>
      <c r="J244">
        <v>188.4</v>
      </c>
      <c r="K244">
        <v>132.5</v>
      </c>
      <c r="L244">
        <v>114</v>
      </c>
      <c r="M244">
        <v>145.4</v>
      </c>
      <c r="N244">
        <v>135.1</v>
      </c>
      <c r="O244">
        <v>157.1</v>
      </c>
      <c r="P244" s="1">
        <f t="shared" si="15"/>
        <v>1750.4999999999998</v>
      </c>
      <c r="Q244">
        <v>149.6</v>
      </c>
      <c r="R244">
        <v>167.1</v>
      </c>
      <c r="S244" s="1">
        <f t="shared" si="16"/>
        <v>583.9</v>
      </c>
      <c r="T244">
        <v>149.4</v>
      </c>
      <c r="U244">
        <v>140.80000000000001</v>
      </c>
      <c r="V244" s="1">
        <f t="shared" si="17"/>
        <v>438.40000000000003</v>
      </c>
      <c r="W244">
        <v>148.19999999999999</v>
      </c>
      <c r="X244">
        <v>153</v>
      </c>
      <c r="Y244" s="1">
        <f t="shared" si="18"/>
        <v>298</v>
      </c>
      <c r="Z244">
        <v>140.6</v>
      </c>
      <c r="AA244">
        <v>145</v>
      </c>
      <c r="AB244">
        <v>149.4</v>
      </c>
      <c r="AC244">
        <v>126.3</v>
      </c>
      <c r="AD244">
        <v>141.69999999999999</v>
      </c>
      <c r="AE244">
        <v>155.4</v>
      </c>
      <c r="AF244">
        <v>140</v>
      </c>
      <c r="AG244">
        <v>141</v>
      </c>
      <c r="AH244">
        <v>147.19999999999999</v>
      </c>
      <c r="AI244">
        <f>SUM('Cleaned Data'!AC244,'Cleaned Data'!AE244,'Cleaned Data'!Z244,'Cleaned Data'!AA244)</f>
        <v>567.29999999999995</v>
      </c>
      <c r="AJ244" s="1">
        <f t="shared" si="19"/>
        <v>141.82499999999999</v>
      </c>
    </row>
    <row r="245" spans="1:36">
      <c r="A245" t="s">
        <v>93</v>
      </c>
      <c r="B245">
        <v>2019</v>
      </c>
      <c r="C245" t="s">
        <v>33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s="1">
        <f t="shared" si="15"/>
        <v>1765.8999999999999</v>
      </c>
      <c r="Q245">
        <v>150.9</v>
      </c>
      <c r="R245">
        <v>167.2</v>
      </c>
      <c r="S245" s="1">
        <f t="shared" si="16"/>
        <v>595.6</v>
      </c>
      <c r="T245">
        <v>152.30000000000001</v>
      </c>
      <c r="U245">
        <v>147</v>
      </c>
      <c r="V245" s="1">
        <f t="shared" si="17"/>
        <v>450.8</v>
      </c>
      <c r="W245">
        <v>151.5</v>
      </c>
      <c r="X245">
        <v>153.5</v>
      </c>
      <c r="Y245" s="1">
        <f t="shared" si="18"/>
        <v>304.39999999999998</v>
      </c>
      <c r="Z245">
        <v>148.4</v>
      </c>
      <c r="AA245">
        <v>150.9</v>
      </c>
      <c r="AB245">
        <v>154.30000000000001</v>
      </c>
      <c r="AC245">
        <v>132.1</v>
      </c>
      <c r="AD245">
        <v>149.1</v>
      </c>
      <c r="AE245">
        <v>160.80000000000001</v>
      </c>
      <c r="AF245">
        <v>140.6</v>
      </c>
      <c r="AG245">
        <v>146.1</v>
      </c>
      <c r="AH245">
        <v>149.9</v>
      </c>
      <c r="AI245">
        <f>SUM('Cleaned Data'!AC245,'Cleaned Data'!AE245,'Cleaned Data'!Z245,'Cleaned Data'!AA245)</f>
        <v>592.19999999999993</v>
      </c>
      <c r="AJ245" s="1">
        <f t="shared" si="19"/>
        <v>148.04999999999998</v>
      </c>
    </row>
    <row r="246" spans="1:36">
      <c r="A246" t="s">
        <v>94</v>
      </c>
      <c r="B246">
        <v>2019</v>
      </c>
      <c r="C246" t="s">
        <v>33</v>
      </c>
      <c r="D246">
        <v>144.1</v>
      </c>
      <c r="E246">
        <v>162.4</v>
      </c>
      <c r="F246">
        <v>148.4</v>
      </c>
      <c r="G246">
        <v>145.9</v>
      </c>
      <c r="H246">
        <v>121.5</v>
      </c>
      <c r="I246">
        <v>148.80000000000001</v>
      </c>
      <c r="J246">
        <v>215.7</v>
      </c>
      <c r="K246">
        <v>134.6</v>
      </c>
      <c r="L246">
        <v>115</v>
      </c>
      <c r="M246">
        <v>146.30000000000001</v>
      </c>
      <c r="N246">
        <v>130.5</v>
      </c>
      <c r="O246">
        <v>157.19999999999999</v>
      </c>
      <c r="P246" s="1">
        <f t="shared" si="15"/>
        <v>1793.5</v>
      </c>
      <c r="Q246">
        <v>153.6</v>
      </c>
      <c r="R246">
        <v>169.9</v>
      </c>
      <c r="S246" s="1">
        <f t="shared" si="16"/>
        <v>576.9</v>
      </c>
      <c r="T246">
        <v>146.30000000000001</v>
      </c>
      <c r="U246">
        <v>132.6</v>
      </c>
      <c r="V246" s="1">
        <f t="shared" si="17"/>
        <v>423.09999999999997</v>
      </c>
      <c r="W246">
        <v>144.19999999999999</v>
      </c>
      <c r="X246">
        <v>153.5</v>
      </c>
      <c r="Y246" s="1">
        <f t="shared" si="18"/>
        <v>292.60000000000002</v>
      </c>
      <c r="Z246">
        <v>132.19999999999999</v>
      </c>
      <c r="AA246">
        <v>139.1</v>
      </c>
      <c r="AB246">
        <v>142.80000000000001</v>
      </c>
      <c r="AC246">
        <v>121.7</v>
      </c>
      <c r="AD246">
        <v>136.69999999999999</v>
      </c>
      <c r="AE246">
        <v>151.80000000000001</v>
      </c>
      <c r="AF246">
        <v>139.80000000000001</v>
      </c>
      <c r="AG246">
        <v>136.30000000000001</v>
      </c>
      <c r="AH246">
        <v>147</v>
      </c>
      <c r="AI246">
        <f>SUM('Cleaned Data'!AC246,'Cleaned Data'!AE246,'Cleaned Data'!Z246,'Cleaned Data'!AA246)</f>
        <v>544.79999999999995</v>
      </c>
      <c r="AJ246" s="1">
        <f t="shared" si="19"/>
        <v>136.19999999999999</v>
      </c>
    </row>
    <row r="247" spans="1:36">
      <c r="A247" t="s">
        <v>6</v>
      </c>
      <c r="B247">
        <v>2019</v>
      </c>
      <c r="C247" t="s">
        <v>33</v>
      </c>
      <c r="D247">
        <v>142.5</v>
      </c>
      <c r="E247">
        <v>163.19999999999999</v>
      </c>
      <c r="F247">
        <v>145.6</v>
      </c>
      <c r="G247">
        <v>146.69999999999999</v>
      </c>
      <c r="H247">
        <v>124.3</v>
      </c>
      <c r="I247">
        <v>147.4</v>
      </c>
      <c r="J247">
        <v>199.6</v>
      </c>
      <c r="K247">
        <v>135.69999999999999</v>
      </c>
      <c r="L247">
        <v>114.2</v>
      </c>
      <c r="M247">
        <v>147</v>
      </c>
      <c r="N247">
        <v>135.30000000000001</v>
      </c>
      <c r="O247">
        <v>157.5</v>
      </c>
      <c r="P247" s="1">
        <f t="shared" si="15"/>
        <v>1775.6000000000001</v>
      </c>
      <c r="Q247">
        <v>151.9</v>
      </c>
      <c r="R247">
        <v>167.9</v>
      </c>
      <c r="S247" s="1">
        <f t="shared" si="16"/>
        <v>585.60000000000014</v>
      </c>
      <c r="T247">
        <v>149.9</v>
      </c>
      <c r="U247">
        <v>141</v>
      </c>
      <c r="V247" s="1">
        <f t="shared" si="17"/>
        <v>439.5</v>
      </c>
      <c r="W247">
        <v>148.6</v>
      </c>
      <c r="X247">
        <v>153.5</v>
      </c>
      <c r="Y247" s="1">
        <f t="shared" si="18"/>
        <v>298.8</v>
      </c>
      <c r="Z247">
        <v>142.30000000000001</v>
      </c>
      <c r="AA247">
        <v>145.30000000000001</v>
      </c>
      <c r="AB247">
        <v>149.9</v>
      </c>
      <c r="AC247">
        <v>126.6</v>
      </c>
      <c r="AD247">
        <v>142.1</v>
      </c>
      <c r="AE247">
        <v>155.5</v>
      </c>
      <c r="AF247">
        <v>140.30000000000001</v>
      </c>
      <c r="AG247">
        <v>141.30000000000001</v>
      </c>
      <c r="AH247">
        <v>148.6</v>
      </c>
      <c r="AI247">
        <f>SUM('Cleaned Data'!AC247,'Cleaned Data'!AE247,'Cleaned Data'!Z247,'Cleaned Data'!AA247)</f>
        <v>569.70000000000005</v>
      </c>
      <c r="AJ247" s="1">
        <f t="shared" si="19"/>
        <v>142.42500000000001</v>
      </c>
    </row>
    <row r="248" spans="1:36">
      <c r="A248" t="s">
        <v>93</v>
      </c>
      <c r="B248">
        <v>2019</v>
      </c>
      <c r="C248" t="s">
        <v>35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s="1">
        <f t="shared" si="15"/>
        <v>1801.6999999999998</v>
      </c>
      <c r="Q248">
        <v>154.30000000000001</v>
      </c>
      <c r="R248">
        <v>167.8</v>
      </c>
      <c r="S248" s="1">
        <f t="shared" si="16"/>
        <v>597.20000000000005</v>
      </c>
      <c r="T248">
        <v>152.6</v>
      </c>
      <c r="U248">
        <v>147.30000000000001</v>
      </c>
      <c r="V248" s="1">
        <f t="shared" si="17"/>
        <v>451.79999999999995</v>
      </c>
      <c r="W248">
        <v>151.9</v>
      </c>
      <c r="X248">
        <v>152.80000000000001</v>
      </c>
      <c r="Y248" s="1">
        <f t="shared" si="18"/>
        <v>304</v>
      </c>
      <c r="Z248">
        <v>149.9</v>
      </c>
      <c r="AA248">
        <v>151.19999999999999</v>
      </c>
      <c r="AB248">
        <v>154.80000000000001</v>
      </c>
      <c r="AC248">
        <v>135</v>
      </c>
      <c r="AD248">
        <v>149.5</v>
      </c>
      <c r="AE248">
        <v>161.1</v>
      </c>
      <c r="AF248">
        <v>140.6</v>
      </c>
      <c r="AG248">
        <v>147.1</v>
      </c>
      <c r="AH248">
        <v>152.30000000000001</v>
      </c>
      <c r="AI248">
        <f>SUM('Cleaned Data'!AC248,'Cleaned Data'!AE248,'Cleaned Data'!Z248,'Cleaned Data'!AA248)</f>
        <v>597.20000000000005</v>
      </c>
      <c r="AJ248" s="1">
        <f t="shared" si="19"/>
        <v>149.30000000000001</v>
      </c>
    </row>
    <row r="249" spans="1:36">
      <c r="A249" t="s">
        <v>94</v>
      </c>
      <c r="B249">
        <v>2019</v>
      </c>
      <c r="C249" t="s">
        <v>35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s="1">
        <f t="shared" si="15"/>
        <v>1825.9</v>
      </c>
      <c r="Q249">
        <v>156.30000000000001</v>
      </c>
      <c r="R249">
        <v>170.4</v>
      </c>
      <c r="S249" s="1">
        <f t="shared" si="16"/>
        <v>578.20000000000005</v>
      </c>
      <c r="T249">
        <v>146.80000000000001</v>
      </c>
      <c r="U249">
        <v>132.80000000000001</v>
      </c>
      <c r="V249" s="1">
        <f t="shared" si="17"/>
        <v>424.20000000000005</v>
      </c>
      <c r="W249">
        <v>144.6</v>
      </c>
      <c r="X249">
        <v>152.80000000000001</v>
      </c>
      <c r="Y249" s="1">
        <f t="shared" si="18"/>
        <v>292.60000000000002</v>
      </c>
      <c r="Z249">
        <v>133.6</v>
      </c>
      <c r="AA249">
        <v>139.80000000000001</v>
      </c>
      <c r="AB249">
        <v>143.19999999999999</v>
      </c>
      <c r="AC249">
        <v>125.2</v>
      </c>
      <c r="AD249">
        <v>136.80000000000001</v>
      </c>
      <c r="AE249">
        <v>151.9</v>
      </c>
      <c r="AF249">
        <v>140.19999999999999</v>
      </c>
      <c r="AG249">
        <v>137.69999999999999</v>
      </c>
      <c r="AH249">
        <v>148.30000000000001</v>
      </c>
      <c r="AI249">
        <f>SUM('Cleaned Data'!AC249,'Cleaned Data'!AE249,'Cleaned Data'!Z249,'Cleaned Data'!AA249)</f>
        <v>550.5</v>
      </c>
      <c r="AJ249" s="1">
        <f t="shared" si="19"/>
        <v>137.625</v>
      </c>
    </row>
    <row r="250" spans="1:36">
      <c r="A250" t="s">
        <v>6</v>
      </c>
      <c r="B250">
        <v>2019</v>
      </c>
      <c r="C250" t="s">
        <v>35</v>
      </c>
      <c r="D250">
        <v>143.5</v>
      </c>
      <c r="E250">
        <v>165</v>
      </c>
      <c r="F250">
        <v>151.1</v>
      </c>
      <c r="G250">
        <v>148.30000000000001</v>
      </c>
      <c r="H250">
        <v>125.7</v>
      </c>
      <c r="I250">
        <v>145.69999999999999</v>
      </c>
      <c r="J250">
        <v>217</v>
      </c>
      <c r="K250">
        <v>138.30000000000001</v>
      </c>
      <c r="L250">
        <v>114</v>
      </c>
      <c r="M250">
        <v>148.69999999999999</v>
      </c>
      <c r="N250">
        <v>135.80000000000001</v>
      </c>
      <c r="O250">
        <v>158</v>
      </c>
      <c r="P250" s="1">
        <f t="shared" si="15"/>
        <v>1810.3</v>
      </c>
      <c r="Q250">
        <v>155</v>
      </c>
      <c r="R250">
        <v>168.5</v>
      </c>
      <c r="S250" s="1">
        <f t="shared" si="16"/>
        <v>587</v>
      </c>
      <c r="T250">
        <v>150.30000000000001</v>
      </c>
      <c r="U250">
        <v>141.30000000000001</v>
      </c>
      <c r="V250" s="1">
        <f t="shared" si="17"/>
        <v>440.6</v>
      </c>
      <c r="W250">
        <v>149</v>
      </c>
      <c r="X250">
        <v>152.80000000000001</v>
      </c>
      <c r="Y250" s="1">
        <f t="shared" si="18"/>
        <v>298.60000000000002</v>
      </c>
      <c r="Z250">
        <v>143.69999999999999</v>
      </c>
      <c r="AA250">
        <v>145.80000000000001</v>
      </c>
      <c r="AB250">
        <v>150.4</v>
      </c>
      <c r="AC250">
        <v>129.80000000000001</v>
      </c>
      <c r="AD250">
        <v>142.30000000000001</v>
      </c>
      <c r="AE250">
        <v>155.69999999999999</v>
      </c>
      <c r="AF250">
        <v>140.4</v>
      </c>
      <c r="AG250">
        <v>142.5</v>
      </c>
      <c r="AH250">
        <v>150.4</v>
      </c>
      <c r="AI250">
        <f>SUM('Cleaned Data'!AC250,'Cleaned Data'!AE250,'Cleaned Data'!Z250,'Cleaned Data'!AA250)</f>
        <v>575</v>
      </c>
      <c r="AJ250" s="1">
        <f t="shared" si="19"/>
        <v>143.75</v>
      </c>
    </row>
    <row r="251" spans="1:36">
      <c r="A251" t="s">
        <v>93</v>
      </c>
      <c r="B251">
        <v>2020</v>
      </c>
      <c r="C251" t="s">
        <v>11</v>
      </c>
      <c r="D251">
        <v>143.69999999999999</v>
      </c>
      <c r="E251">
        <v>167.3</v>
      </c>
      <c r="F251">
        <v>153.5</v>
      </c>
      <c r="G251">
        <v>150.5</v>
      </c>
      <c r="H251">
        <v>132</v>
      </c>
      <c r="I251">
        <v>142.19999999999999</v>
      </c>
      <c r="J251">
        <v>191.5</v>
      </c>
      <c r="K251">
        <v>141.1</v>
      </c>
      <c r="L251">
        <v>113.8</v>
      </c>
      <c r="M251">
        <v>151.6</v>
      </c>
      <c r="N251">
        <v>139.69999999999999</v>
      </c>
      <c r="O251">
        <v>158.69999999999999</v>
      </c>
      <c r="P251" s="1">
        <f t="shared" si="15"/>
        <v>1798.8999999999999</v>
      </c>
      <c r="Q251">
        <v>153</v>
      </c>
      <c r="R251">
        <v>168.6</v>
      </c>
      <c r="S251" s="1">
        <f t="shared" si="16"/>
        <v>600.9</v>
      </c>
      <c r="T251">
        <v>152.80000000000001</v>
      </c>
      <c r="U251">
        <v>147.4</v>
      </c>
      <c r="V251" s="1">
        <f t="shared" si="17"/>
        <v>452.30000000000007</v>
      </c>
      <c r="W251">
        <v>152.1</v>
      </c>
      <c r="X251">
        <v>153.9</v>
      </c>
      <c r="Y251" s="1">
        <f t="shared" si="18"/>
        <v>305.60000000000002</v>
      </c>
      <c r="Z251">
        <v>150.4</v>
      </c>
      <c r="AA251">
        <v>151.69999999999999</v>
      </c>
      <c r="AB251">
        <v>155.69999999999999</v>
      </c>
      <c r="AC251">
        <v>136.30000000000001</v>
      </c>
      <c r="AD251">
        <v>150.1</v>
      </c>
      <c r="AE251">
        <v>161.69999999999999</v>
      </c>
      <c r="AF251">
        <v>142.5</v>
      </c>
      <c r="AG251">
        <v>148.1</v>
      </c>
      <c r="AH251">
        <v>151.9</v>
      </c>
      <c r="AI251">
        <f>SUM('Cleaned Data'!AC251,'Cleaned Data'!AE251,'Cleaned Data'!Z251,'Cleaned Data'!AA251)</f>
        <v>600.09999999999991</v>
      </c>
      <c r="AJ251" s="1">
        <f t="shared" si="19"/>
        <v>150.02500000000001</v>
      </c>
    </row>
    <row r="252" spans="1:36">
      <c r="A252" t="s">
        <v>94</v>
      </c>
      <c r="B252">
        <v>2020</v>
      </c>
      <c r="C252" t="s">
        <v>11</v>
      </c>
      <c r="D252">
        <v>145.6</v>
      </c>
      <c r="E252">
        <v>167.6</v>
      </c>
      <c r="F252">
        <v>157</v>
      </c>
      <c r="G252">
        <v>149.30000000000001</v>
      </c>
      <c r="H252">
        <v>126.3</v>
      </c>
      <c r="I252">
        <v>144.4</v>
      </c>
      <c r="J252">
        <v>207.8</v>
      </c>
      <c r="K252">
        <v>139.1</v>
      </c>
      <c r="L252">
        <v>114.8</v>
      </c>
      <c r="M252">
        <v>149.5</v>
      </c>
      <c r="N252">
        <v>131.1</v>
      </c>
      <c r="O252">
        <v>158.5</v>
      </c>
      <c r="P252" s="1">
        <f t="shared" si="15"/>
        <v>1814.3</v>
      </c>
      <c r="Q252">
        <v>154.4</v>
      </c>
      <c r="R252">
        <v>170.8</v>
      </c>
      <c r="S252" s="1">
        <f t="shared" si="16"/>
        <v>581.19999999999993</v>
      </c>
      <c r="T252">
        <v>147</v>
      </c>
      <c r="U252">
        <v>133.19999999999999</v>
      </c>
      <c r="V252" s="1">
        <f t="shared" si="17"/>
        <v>425.1</v>
      </c>
      <c r="W252">
        <v>144.9</v>
      </c>
      <c r="X252">
        <v>153.9</v>
      </c>
      <c r="Y252" s="1">
        <f t="shared" si="18"/>
        <v>294</v>
      </c>
      <c r="Z252">
        <v>135.1</v>
      </c>
      <c r="AA252">
        <v>140.1</v>
      </c>
      <c r="AB252">
        <v>143.80000000000001</v>
      </c>
      <c r="AC252">
        <v>126.1</v>
      </c>
      <c r="AD252">
        <v>137.19999999999999</v>
      </c>
      <c r="AE252">
        <v>152.1</v>
      </c>
      <c r="AF252">
        <v>142.1</v>
      </c>
      <c r="AG252">
        <v>138.4</v>
      </c>
      <c r="AH252">
        <v>148.19999999999999</v>
      </c>
      <c r="AI252">
        <f>SUM('Cleaned Data'!AC252,'Cleaned Data'!AE252,'Cleaned Data'!Z252,'Cleaned Data'!AA252)</f>
        <v>553.4</v>
      </c>
      <c r="AJ252" s="1">
        <f t="shared" si="19"/>
        <v>138.35</v>
      </c>
    </row>
    <row r="253" spans="1:36">
      <c r="A253" t="s">
        <v>6</v>
      </c>
      <c r="B253">
        <v>2020</v>
      </c>
      <c r="C253" t="s">
        <v>11</v>
      </c>
      <c r="D253">
        <v>144.30000000000001</v>
      </c>
      <c r="E253">
        <v>167.4</v>
      </c>
      <c r="F253">
        <v>154.9</v>
      </c>
      <c r="G253">
        <v>150.1</v>
      </c>
      <c r="H253">
        <v>129.9</v>
      </c>
      <c r="I253">
        <v>143.19999999999999</v>
      </c>
      <c r="J253">
        <v>197</v>
      </c>
      <c r="K253">
        <v>140.4</v>
      </c>
      <c r="L253">
        <v>114.1</v>
      </c>
      <c r="M253">
        <v>150.9</v>
      </c>
      <c r="N253">
        <v>136.1</v>
      </c>
      <c r="O253">
        <v>158.6</v>
      </c>
      <c r="P253" s="1">
        <f t="shared" si="15"/>
        <v>1804.3000000000002</v>
      </c>
      <c r="Q253">
        <v>153.5</v>
      </c>
      <c r="R253">
        <v>169.2</v>
      </c>
      <c r="S253" s="1">
        <f t="shared" si="16"/>
        <v>590.4</v>
      </c>
      <c r="T253">
        <v>150.5</v>
      </c>
      <c r="U253">
        <v>141.5</v>
      </c>
      <c r="V253" s="1">
        <f t="shared" si="17"/>
        <v>441.2</v>
      </c>
      <c r="W253">
        <v>149.19999999999999</v>
      </c>
      <c r="X253">
        <v>153.9</v>
      </c>
      <c r="Y253" s="1">
        <f t="shared" si="18"/>
        <v>300.10000000000002</v>
      </c>
      <c r="Z253">
        <v>144.6</v>
      </c>
      <c r="AA253">
        <v>146.19999999999999</v>
      </c>
      <c r="AB253">
        <v>151.19999999999999</v>
      </c>
      <c r="AC253">
        <v>130.9</v>
      </c>
      <c r="AD253">
        <v>142.80000000000001</v>
      </c>
      <c r="AE253">
        <v>156.1</v>
      </c>
      <c r="AF253">
        <v>142.30000000000001</v>
      </c>
      <c r="AG253">
        <v>143.4</v>
      </c>
      <c r="AH253">
        <v>150.19999999999999</v>
      </c>
      <c r="AI253">
        <f>SUM('Cleaned Data'!AC253,'Cleaned Data'!AE253,'Cleaned Data'!Z253,'Cleaned Data'!AA253)</f>
        <v>577.79999999999995</v>
      </c>
      <c r="AJ253" s="1">
        <f t="shared" si="19"/>
        <v>144.44999999999999</v>
      </c>
    </row>
    <row r="254" spans="1:36">
      <c r="A254" t="s">
        <v>93</v>
      </c>
      <c r="B254">
        <v>2020</v>
      </c>
      <c r="C254" t="s">
        <v>14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s="1">
        <f t="shared" si="15"/>
        <v>1769.7000000000003</v>
      </c>
      <c r="Q254">
        <v>149.80000000000001</v>
      </c>
      <c r="R254">
        <v>169.4</v>
      </c>
      <c r="S254" s="1">
        <f t="shared" si="16"/>
        <v>603.29999999999995</v>
      </c>
      <c r="T254">
        <v>153</v>
      </c>
      <c r="U254">
        <v>147.5</v>
      </c>
      <c r="V254" s="1">
        <f t="shared" si="17"/>
        <v>452.8</v>
      </c>
      <c r="W254">
        <v>152.30000000000001</v>
      </c>
      <c r="X254">
        <v>154.80000000000001</v>
      </c>
      <c r="Y254" s="1">
        <f t="shared" si="18"/>
        <v>306.60000000000002</v>
      </c>
      <c r="Z254">
        <v>152.30000000000001</v>
      </c>
      <c r="AA254">
        <v>151.80000000000001</v>
      </c>
      <c r="AB254">
        <v>156.19999999999999</v>
      </c>
      <c r="AC254">
        <v>136</v>
      </c>
      <c r="AD254">
        <v>150.4</v>
      </c>
      <c r="AE254">
        <v>161.9</v>
      </c>
      <c r="AF254">
        <v>143.4</v>
      </c>
      <c r="AG254">
        <v>148.4</v>
      </c>
      <c r="AH254">
        <v>150.4</v>
      </c>
      <c r="AI254">
        <f>SUM('Cleaned Data'!AC254,'Cleaned Data'!AE254,'Cleaned Data'!Z254,'Cleaned Data'!AA254)</f>
        <v>602</v>
      </c>
      <c r="AJ254" s="1">
        <f t="shared" si="19"/>
        <v>150.5</v>
      </c>
    </row>
    <row r="255" spans="1:36">
      <c r="A255" t="s">
        <v>94</v>
      </c>
      <c r="B255">
        <v>2020</v>
      </c>
      <c r="C255" t="s">
        <v>14</v>
      </c>
      <c r="D255">
        <v>146.19999999999999</v>
      </c>
      <c r="E255">
        <v>167.6</v>
      </c>
      <c r="F255">
        <v>153.1</v>
      </c>
      <c r="G255">
        <v>150.69999999999999</v>
      </c>
      <c r="H255">
        <v>127.4</v>
      </c>
      <c r="I255">
        <v>143.1</v>
      </c>
      <c r="J255">
        <v>181.7</v>
      </c>
      <c r="K255">
        <v>139.6</v>
      </c>
      <c r="L255">
        <v>114.6</v>
      </c>
      <c r="M255">
        <v>150.4</v>
      </c>
      <c r="N255">
        <v>131.5</v>
      </c>
      <c r="O255">
        <v>159</v>
      </c>
      <c r="P255" s="1">
        <f t="shared" si="15"/>
        <v>1785.1</v>
      </c>
      <c r="Q255">
        <v>151.69999999999999</v>
      </c>
      <c r="R255">
        <v>172</v>
      </c>
      <c r="S255" s="1">
        <f t="shared" si="16"/>
        <v>584.70000000000005</v>
      </c>
      <c r="T255">
        <v>147.30000000000001</v>
      </c>
      <c r="U255">
        <v>133.5</v>
      </c>
      <c r="V255" s="1">
        <f t="shared" si="17"/>
        <v>426</v>
      </c>
      <c r="W255">
        <v>145.19999999999999</v>
      </c>
      <c r="X255">
        <v>154.80000000000001</v>
      </c>
      <c r="Y255" s="1">
        <f t="shared" si="18"/>
        <v>295.20000000000005</v>
      </c>
      <c r="Z255">
        <v>138.9</v>
      </c>
      <c r="AA255">
        <v>140.4</v>
      </c>
      <c r="AB255">
        <v>144.4</v>
      </c>
      <c r="AC255">
        <v>125.2</v>
      </c>
      <c r="AD255">
        <v>137.69999999999999</v>
      </c>
      <c r="AE255">
        <v>152.19999999999999</v>
      </c>
      <c r="AF255">
        <v>143.5</v>
      </c>
      <c r="AG255">
        <v>138.4</v>
      </c>
      <c r="AH255">
        <v>147.69999999999999</v>
      </c>
      <c r="AI255">
        <f>SUM('Cleaned Data'!AC255,'Cleaned Data'!AE255,'Cleaned Data'!Z255,'Cleaned Data'!AA255)</f>
        <v>556.69999999999993</v>
      </c>
      <c r="AJ255" s="1">
        <f t="shared" si="19"/>
        <v>139.17499999999998</v>
      </c>
    </row>
    <row r="256" spans="1:36">
      <c r="A256" t="s">
        <v>6</v>
      </c>
      <c r="B256">
        <v>2020</v>
      </c>
      <c r="C256" t="s">
        <v>14</v>
      </c>
      <c r="D256">
        <v>144.80000000000001</v>
      </c>
      <c r="E256">
        <v>167.5</v>
      </c>
      <c r="F256">
        <v>151.80000000000001</v>
      </c>
      <c r="G256">
        <v>150.80000000000001</v>
      </c>
      <c r="H256">
        <v>131.4</v>
      </c>
      <c r="I256">
        <v>141.80000000000001</v>
      </c>
      <c r="J256">
        <v>170.7</v>
      </c>
      <c r="K256">
        <v>141.1</v>
      </c>
      <c r="L256">
        <v>113.6</v>
      </c>
      <c r="M256">
        <v>152</v>
      </c>
      <c r="N256">
        <v>136.5</v>
      </c>
      <c r="O256">
        <v>159.1</v>
      </c>
      <c r="P256" s="1">
        <f t="shared" si="15"/>
        <v>1775.1</v>
      </c>
      <c r="Q256">
        <v>150.5</v>
      </c>
      <c r="R256">
        <v>170.1</v>
      </c>
      <c r="S256" s="1">
        <f t="shared" si="16"/>
        <v>593.20000000000005</v>
      </c>
      <c r="T256">
        <v>150.80000000000001</v>
      </c>
      <c r="U256">
        <v>141.69999999999999</v>
      </c>
      <c r="V256" s="1">
        <f t="shared" si="17"/>
        <v>442</v>
      </c>
      <c r="W256">
        <v>149.5</v>
      </c>
      <c r="X256">
        <v>154.80000000000001</v>
      </c>
      <c r="Y256" s="1">
        <f t="shared" si="18"/>
        <v>301.20000000000005</v>
      </c>
      <c r="Z256">
        <v>147.19999999999999</v>
      </c>
      <c r="AA256">
        <v>146.4</v>
      </c>
      <c r="AB256">
        <v>151.69999999999999</v>
      </c>
      <c r="AC256">
        <v>130.30000000000001</v>
      </c>
      <c r="AD256">
        <v>143.19999999999999</v>
      </c>
      <c r="AE256">
        <v>156.19999999999999</v>
      </c>
      <c r="AF256">
        <v>143.4</v>
      </c>
      <c r="AG256">
        <v>143.6</v>
      </c>
      <c r="AH256">
        <v>149.1</v>
      </c>
      <c r="AI256">
        <f>SUM('Cleaned Data'!AC256,'Cleaned Data'!AE256,'Cleaned Data'!Z256,'Cleaned Data'!AA256)</f>
        <v>580.1</v>
      </c>
      <c r="AJ256" s="1">
        <f t="shared" si="19"/>
        <v>145.02499999999998</v>
      </c>
    </row>
    <row r="257" spans="1:36">
      <c r="A257" t="s">
        <v>93</v>
      </c>
      <c r="B257">
        <v>2020</v>
      </c>
      <c r="C257" t="s">
        <v>17</v>
      </c>
      <c r="D257">
        <v>144.4</v>
      </c>
      <c r="E257">
        <v>166.8</v>
      </c>
      <c r="F257">
        <v>147.6</v>
      </c>
      <c r="G257">
        <v>151.69999999999999</v>
      </c>
      <c r="H257">
        <v>133.30000000000001</v>
      </c>
      <c r="I257">
        <v>141.80000000000001</v>
      </c>
      <c r="J257">
        <v>152.30000000000001</v>
      </c>
      <c r="K257">
        <v>141.80000000000001</v>
      </c>
      <c r="L257">
        <v>112.6</v>
      </c>
      <c r="M257">
        <v>154</v>
      </c>
      <c r="N257">
        <v>140.1</v>
      </c>
      <c r="O257">
        <v>160</v>
      </c>
      <c r="P257" s="1">
        <f t="shared" si="15"/>
        <v>1754.5</v>
      </c>
      <c r="Q257">
        <v>148.19999999999999</v>
      </c>
      <c r="R257">
        <v>170.5</v>
      </c>
      <c r="S257" s="1">
        <f t="shared" si="16"/>
        <v>606.9</v>
      </c>
      <c r="T257">
        <v>153.4</v>
      </c>
      <c r="U257">
        <v>147.6</v>
      </c>
      <c r="V257" s="1">
        <f t="shared" si="17"/>
        <v>453.5</v>
      </c>
      <c r="W257">
        <v>152.5</v>
      </c>
      <c r="X257">
        <v>154.5</v>
      </c>
      <c r="Y257" s="1">
        <f t="shared" si="18"/>
        <v>306</v>
      </c>
      <c r="Z257">
        <v>153.4</v>
      </c>
      <c r="AA257">
        <v>151.5</v>
      </c>
      <c r="AB257">
        <v>156.69999999999999</v>
      </c>
      <c r="AC257">
        <v>135.80000000000001</v>
      </c>
      <c r="AD257">
        <v>151.19999999999999</v>
      </c>
      <c r="AE257">
        <v>161.19999999999999</v>
      </c>
      <c r="AF257">
        <v>145.1</v>
      </c>
      <c r="AG257">
        <v>148.6</v>
      </c>
      <c r="AH257">
        <v>149.80000000000001</v>
      </c>
      <c r="AI257">
        <f>SUM('Cleaned Data'!AC257,'Cleaned Data'!AE257,'Cleaned Data'!Z257,'Cleaned Data'!AA257)</f>
        <v>601.9</v>
      </c>
      <c r="AJ257" s="1">
        <f t="shared" si="19"/>
        <v>150.47499999999999</v>
      </c>
    </row>
    <row r="258" spans="1:36">
      <c r="A258" t="s">
        <v>94</v>
      </c>
      <c r="B258">
        <v>2020</v>
      </c>
      <c r="C258" t="s">
        <v>17</v>
      </c>
      <c r="D258">
        <v>146.5</v>
      </c>
      <c r="E258">
        <v>167.5</v>
      </c>
      <c r="F258">
        <v>148.9</v>
      </c>
      <c r="G258">
        <v>151.1</v>
      </c>
      <c r="H258">
        <v>127.5</v>
      </c>
      <c r="I258">
        <v>143.30000000000001</v>
      </c>
      <c r="J258">
        <v>167</v>
      </c>
      <c r="K258">
        <v>139.69999999999999</v>
      </c>
      <c r="L258">
        <v>114.4</v>
      </c>
      <c r="M258">
        <v>151.5</v>
      </c>
      <c r="N258">
        <v>131.9</v>
      </c>
      <c r="O258">
        <v>159.1</v>
      </c>
      <c r="P258" s="1">
        <f t="shared" si="15"/>
        <v>1766.6</v>
      </c>
      <c r="Q258">
        <v>150.1</v>
      </c>
      <c r="R258">
        <v>173.3</v>
      </c>
      <c r="S258" s="1">
        <f t="shared" si="16"/>
        <v>588.40000000000009</v>
      </c>
      <c r="T258">
        <v>147.69999999999999</v>
      </c>
      <c r="U258">
        <v>133.80000000000001</v>
      </c>
      <c r="V258" s="1">
        <f t="shared" si="17"/>
        <v>427.1</v>
      </c>
      <c r="W258">
        <v>145.6</v>
      </c>
      <c r="X258">
        <v>154.5</v>
      </c>
      <c r="Y258" s="1">
        <f t="shared" si="18"/>
        <v>295.3</v>
      </c>
      <c r="Z258">
        <v>141.4</v>
      </c>
      <c r="AA258">
        <v>140.80000000000001</v>
      </c>
      <c r="AB258">
        <v>145</v>
      </c>
      <c r="AC258">
        <v>124.6</v>
      </c>
      <c r="AD258">
        <v>137.9</v>
      </c>
      <c r="AE258">
        <v>152.5</v>
      </c>
      <c r="AF258">
        <v>145.30000000000001</v>
      </c>
      <c r="AG258">
        <v>138.69999999999999</v>
      </c>
      <c r="AH258">
        <v>147.30000000000001</v>
      </c>
      <c r="AI258">
        <f>SUM('Cleaned Data'!AC258,'Cleaned Data'!AE258,'Cleaned Data'!Z258,'Cleaned Data'!AA258)</f>
        <v>559.29999999999995</v>
      </c>
      <c r="AJ258" s="1">
        <f t="shared" si="19"/>
        <v>139.82500000000002</v>
      </c>
    </row>
    <row r="259" spans="1:36">
      <c r="A259" t="s">
        <v>6</v>
      </c>
      <c r="B259">
        <v>2020</v>
      </c>
      <c r="C259" t="s">
        <v>17</v>
      </c>
      <c r="D259">
        <v>145.1</v>
      </c>
      <c r="E259">
        <v>167</v>
      </c>
      <c r="F259">
        <v>148.1</v>
      </c>
      <c r="G259">
        <v>151.5</v>
      </c>
      <c r="H259">
        <v>131.19999999999999</v>
      </c>
      <c r="I259">
        <v>142.5</v>
      </c>
      <c r="J259">
        <v>157.30000000000001</v>
      </c>
      <c r="K259">
        <v>141.1</v>
      </c>
      <c r="L259">
        <v>113.2</v>
      </c>
      <c r="M259">
        <v>153.19999999999999</v>
      </c>
      <c r="N259">
        <v>136.69999999999999</v>
      </c>
      <c r="O259">
        <v>159.6</v>
      </c>
      <c r="P259" s="1">
        <f t="shared" ref="P259:P322" si="20">SUM(O259,M259,L259,K259,J259,I259,H259,G259,F259,E259,D259,Q259)</f>
        <v>1758.6999999999998</v>
      </c>
      <c r="Q259">
        <v>148.9</v>
      </c>
      <c r="R259">
        <v>171.2</v>
      </c>
      <c r="S259" s="1">
        <f t="shared" ref="S259:S322" si="21">SUM(R259,N259,AD259,AF259)</f>
        <v>596.79999999999995</v>
      </c>
      <c r="T259">
        <v>151.19999999999999</v>
      </c>
      <c r="U259">
        <v>141.9</v>
      </c>
      <c r="V259" s="1">
        <f t="shared" ref="V259:V322" si="22">SUM(U259,T259,W259)</f>
        <v>442.90000000000003</v>
      </c>
      <c r="W259">
        <v>149.80000000000001</v>
      </c>
      <c r="X259">
        <v>154.5</v>
      </c>
      <c r="Y259" s="1">
        <f t="shared" ref="Y259:Y322" si="23">SUM(X259,AA259)</f>
        <v>300.89999999999998</v>
      </c>
      <c r="Z259">
        <v>148.9</v>
      </c>
      <c r="AA259">
        <v>146.4</v>
      </c>
      <c r="AB259">
        <v>152.30000000000001</v>
      </c>
      <c r="AC259">
        <v>129.9</v>
      </c>
      <c r="AD259">
        <v>143.69999999999999</v>
      </c>
      <c r="AE259">
        <v>156.1</v>
      </c>
      <c r="AF259">
        <v>145.19999999999999</v>
      </c>
      <c r="AG259">
        <v>143.80000000000001</v>
      </c>
      <c r="AH259">
        <v>148.6</v>
      </c>
      <c r="AI259">
        <f>SUM('Cleaned Data'!AC259,'Cleaned Data'!AE259,'Cleaned Data'!Z259,'Cleaned Data'!AA259)</f>
        <v>581.29999999999995</v>
      </c>
      <c r="AJ259" s="1">
        <f t="shared" ref="AJ259:AJ322" si="24">AVERAGE(AE259,AC259,AA259,Z259)</f>
        <v>145.32499999999999</v>
      </c>
    </row>
    <row r="260" spans="1:36">
      <c r="A260" t="s">
        <v>93</v>
      </c>
      <c r="B260">
        <v>2020</v>
      </c>
      <c r="C260" t="s">
        <v>19</v>
      </c>
      <c r="D260">
        <v>147.19999999999999</v>
      </c>
      <c r="E260" s="1">
        <v>181.67</v>
      </c>
      <c r="F260">
        <v>146.9</v>
      </c>
      <c r="G260">
        <v>155.6</v>
      </c>
      <c r="H260">
        <v>137.1</v>
      </c>
      <c r="I260">
        <v>147.30000000000001</v>
      </c>
      <c r="J260">
        <v>162.69999999999999</v>
      </c>
      <c r="K260">
        <v>150.19999999999999</v>
      </c>
      <c r="L260">
        <v>119.8</v>
      </c>
      <c r="M260">
        <v>158.69999999999999</v>
      </c>
      <c r="N260">
        <v>139.19999999999999</v>
      </c>
      <c r="O260" s="1">
        <v>161.28</v>
      </c>
      <c r="P260" s="1">
        <f t="shared" si="20"/>
        <v>1818.55</v>
      </c>
      <c r="Q260">
        <v>150.1</v>
      </c>
      <c r="R260" s="1">
        <v>178.68</v>
      </c>
      <c r="S260" s="1">
        <f t="shared" si="21"/>
        <v>621.52</v>
      </c>
      <c r="T260" s="1">
        <v>154.81</v>
      </c>
      <c r="U260" s="1">
        <v>149.48999999999998</v>
      </c>
      <c r="V260" s="1">
        <f t="shared" si="22"/>
        <v>458.37999999999994</v>
      </c>
      <c r="W260" s="1">
        <v>154.07999999999998</v>
      </c>
      <c r="X260" s="1">
        <v>155.6</v>
      </c>
      <c r="Y260" s="1">
        <f t="shared" si="23"/>
        <v>307.61</v>
      </c>
      <c r="Z260">
        <v>148.4</v>
      </c>
      <c r="AA260" s="1">
        <v>152.01000000000002</v>
      </c>
      <c r="AB260">
        <v>154.30000000000001</v>
      </c>
      <c r="AC260">
        <v>141.80000000000001</v>
      </c>
      <c r="AD260">
        <v>152.30000000000001</v>
      </c>
      <c r="AE260" s="1">
        <v>161.92000000000002</v>
      </c>
      <c r="AF260" s="1">
        <v>151.34</v>
      </c>
      <c r="AG260" s="1">
        <v>151.92000000000002</v>
      </c>
      <c r="AH260" s="1">
        <v>154.56</v>
      </c>
      <c r="AI260">
        <f>SUM('Cleaned Data'!AC260,'Cleaned Data'!AE260,'Cleaned Data'!Z260,'Cleaned Data'!AA260)</f>
        <v>604.13</v>
      </c>
      <c r="AJ260" s="1">
        <f t="shared" si="24"/>
        <v>151.0325</v>
      </c>
    </row>
    <row r="261" spans="1:36">
      <c r="A261" t="s">
        <v>94</v>
      </c>
      <c r="B261">
        <v>2020</v>
      </c>
      <c r="C261" t="s">
        <v>19</v>
      </c>
      <c r="D261">
        <v>151.80000000000001</v>
      </c>
      <c r="E261" s="1">
        <v>187.25</v>
      </c>
      <c r="F261">
        <v>151.9</v>
      </c>
      <c r="G261">
        <v>155.5</v>
      </c>
      <c r="H261">
        <v>131.6</v>
      </c>
      <c r="I261">
        <v>152.9</v>
      </c>
      <c r="J261">
        <v>180</v>
      </c>
      <c r="K261">
        <v>150.80000000000001</v>
      </c>
      <c r="L261">
        <v>121.2</v>
      </c>
      <c r="M261">
        <v>154</v>
      </c>
      <c r="N261">
        <v>133.5</v>
      </c>
      <c r="O261" s="1">
        <v>162.37</v>
      </c>
      <c r="P261" s="1">
        <f t="shared" si="20"/>
        <v>1852.82</v>
      </c>
      <c r="Q261">
        <v>153.5</v>
      </c>
      <c r="R261" s="1">
        <v>183.31</v>
      </c>
      <c r="S261" s="1">
        <f t="shared" si="21"/>
        <v>614.82000000000005</v>
      </c>
      <c r="T261" s="1">
        <v>149.39000000000001</v>
      </c>
      <c r="U261" s="1">
        <v>135.44</v>
      </c>
      <c r="V261" s="1">
        <f t="shared" si="22"/>
        <v>432.1</v>
      </c>
      <c r="W261" s="1">
        <v>147.26999999999998</v>
      </c>
      <c r="X261">
        <v>155.6</v>
      </c>
      <c r="Y261" s="1">
        <f t="shared" si="23"/>
        <v>298.37</v>
      </c>
      <c r="Z261">
        <v>137.1</v>
      </c>
      <c r="AA261" s="1">
        <v>142.76999999999998</v>
      </c>
      <c r="AB261">
        <v>144.80000000000001</v>
      </c>
      <c r="AC261" s="1">
        <v>130.96</v>
      </c>
      <c r="AD261" s="1">
        <v>146.23000000000002</v>
      </c>
      <c r="AE261" s="1">
        <v>154.12000000000003</v>
      </c>
      <c r="AF261" s="1">
        <v>151.78000000000003</v>
      </c>
      <c r="AG261" s="2">
        <v>143</v>
      </c>
      <c r="AH261" s="1">
        <v>152.05000000000001</v>
      </c>
      <c r="AI261">
        <f>SUM('Cleaned Data'!AC261,'Cleaned Data'!AE261,'Cleaned Data'!Z261,'Cleaned Data'!AA261)</f>
        <v>564.95000000000005</v>
      </c>
      <c r="AJ261" s="1">
        <f t="shared" si="24"/>
        <v>141.23750000000001</v>
      </c>
    </row>
    <row r="262" spans="1:36">
      <c r="A262" t="s">
        <v>6</v>
      </c>
      <c r="B262">
        <v>2020</v>
      </c>
      <c r="C262" t="s">
        <v>19</v>
      </c>
      <c r="D262">
        <v>148.69999999999999</v>
      </c>
      <c r="E262" s="1">
        <v>183.62</v>
      </c>
      <c r="F262">
        <v>148.80000000000001</v>
      </c>
      <c r="G262">
        <v>155.6</v>
      </c>
      <c r="H262">
        <v>135.1</v>
      </c>
      <c r="I262">
        <v>149.9</v>
      </c>
      <c r="J262">
        <v>168.6</v>
      </c>
      <c r="K262">
        <v>150.4</v>
      </c>
      <c r="L262">
        <v>120.3</v>
      </c>
      <c r="M262">
        <v>157.1</v>
      </c>
      <c r="N262">
        <v>136.80000000000001</v>
      </c>
      <c r="O262" s="1">
        <v>161.79</v>
      </c>
      <c r="P262" s="1">
        <f t="shared" si="20"/>
        <v>1831.3100000000002</v>
      </c>
      <c r="Q262">
        <v>151.4</v>
      </c>
      <c r="R262">
        <v>179.9</v>
      </c>
      <c r="S262" s="1">
        <f t="shared" si="21"/>
        <v>610.67000000000007</v>
      </c>
      <c r="T262">
        <v>152.69999999999999</v>
      </c>
      <c r="U262" s="1">
        <v>143.65</v>
      </c>
      <c r="V262" s="1">
        <f t="shared" si="22"/>
        <v>447.72</v>
      </c>
      <c r="W262" s="1">
        <v>151.36999999999998</v>
      </c>
      <c r="X262">
        <v>155.6</v>
      </c>
      <c r="Y262" s="1">
        <f t="shared" si="23"/>
        <v>303.25</v>
      </c>
      <c r="Z262">
        <v>144.1</v>
      </c>
      <c r="AA262" s="1">
        <v>147.65</v>
      </c>
      <c r="AB262">
        <v>150.69999999999999</v>
      </c>
      <c r="AC262" s="1">
        <v>136.09</v>
      </c>
      <c r="AD262" s="1">
        <v>141.55000000000001</v>
      </c>
      <c r="AE262" s="1">
        <v>157.36999999999998</v>
      </c>
      <c r="AF262" s="1">
        <v>152.42000000000002</v>
      </c>
      <c r="AG262" s="1">
        <v>147.61000000000001</v>
      </c>
      <c r="AH262" s="1">
        <v>153.38000000000002</v>
      </c>
      <c r="AI262">
        <f>SUM('Cleaned Data'!AC262,'Cleaned Data'!AE262,'Cleaned Data'!Z262,'Cleaned Data'!AA262)</f>
        <v>585.20999999999992</v>
      </c>
      <c r="AJ262" s="1">
        <f t="shared" si="24"/>
        <v>146.30250000000001</v>
      </c>
    </row>
    <row r="263" spans="1:36">
      <c r="A263" t="s">
        <v>93</v>
      </c>
      <c r="B263">
        <v>2020</v>
      </c>
      <c r="C263" t="s">
        <v>21</v>
      </c>
      <c r="D263" s="1">
        <v>146.04</v>
      </c>
      <c r="E263" s="1">
        <v>181.67</v>
      </c>
      <c r="F263">
        <v>154.52000000000001</v>
      </c>
      <c r="G263" s="1">
        <v>153.04</v>
      </c>
      <c r="H263" s="1">
        <v>139.15</v>
      </c>
      <c r="I263" s="1">
        <v>144.71</v>
      </c>
      <c r="J263" s="1">
        <v>178.83</v>
      </c>
      <c r="K263" s="1">
        <v>149.12</v>
      </c>
      <c r="L263">
        <v>114.5</v>
      </c>
      <c r="M263" s="1">
        <v>158.46</v>
      </c>
      <c r="N263">
        <v>143.9</v>
      </c>
      <c r="O263" s="1">
        <v>161.28</v>
      </c>
      <c r="P263" s="1">
        <f t="shared" si="20"/>
        <v>1836.2700000000002</v>
      </c>
      <c r="Q263" s="1">
        <v>154.94999999999999</v>
      </c>
      <c r="R263" s="1">
        <v>178.68</v>
      </c>
      <c r="S263" s="1">
        <f t="shared" si="21"/>
        <v>626.22</v>
      </c>
      <c r="T263" s="1">
        <v>154.81</v>
      </c>
      <c r="U263" s="1">
        <v>149.48999999999998</v>
      </c>
      <c r="V263" s="1">
        <f t="shared" si="22"/>
        <v>458.37999999999994</v>
      </c>
      <c r="W263" s="1">
        <v>154.07999999999998</v>
      </c>
      <c r="Y263" s="1">
        <f t="shared" si="23"/>
        <v>152.01000000000002</v>
      </c>
      <c r="Z263" s="1">
        <v>148.13636363636363</v>
      </c>
      <c r="AA263" s="1">
        <v>152.01000000000002</v>
      </c>
      <c r="AB263" s="1">
        <v>158.06363636363633</v>
      </c>
      <c r="AC263">
        <v>141.80000000000001</v>
      </c>
      <c r="AD263">
        <v>152.30000000000001</v>
      </c>
      <c r="AE263" s="1">
        <v>161.92000000000002</v>
      </c>
      <c r="AF263" s="1">
        <v>151.34</v>
      </c>
      <c r="AG263" s="1">
        <v>151.92000000000002</v>
      </c>
      <c r="AH263" s="1">
        <v>154.56</v>
      </c>
      <c r="AI263">
        <f>SUM('Cleaned Data'!AC263,'Cleaned Data'!AE263,'Cleaned Data'!Z263,'Cleaned Data'!AA263)</f>
        <v>603.86636363636364</v>
      </c>
      <c r="AJ263" s="1">
        <f t="shared" si="24"/>
        <v>150.96659090909091</v>
      </c>
    </row>
    <row r="264" spans="1:36">
      <c r="A264" t="s">
        <v>94</v>
      </c>
      <c r="B264">
        <v>2020</v>
      </c>
      <c r="C264" t="s">
        <v>21</v>
      </c>
      <c r="D264">
        <v>149.80000000000001</v>
      </c>
      <c r="E264" s="1">
        <v>187.25</v>
      </c>
      <c r="F264">
        <v>159.26</v>
      </c>
      <c r="G264" s="1">
        <v>152.94999999999999</v>
      </c>
      <c r="H264">
        <v>132.80000000000001</v>
      </c>
      <c r="I264" s="1">
        <v>150.28</v>
      </c>
      <c r="J264" s="1">
        <v>198.63</v>
      </c>
      <c r="K264">
        <v>149.80000000000001</v>
      </c>
      <c r="L264" s="1">
        <v>116.88</v>
      </c>
      <c r="M264" s="1">
        <v>157.13</v>
      </c>
      <c r="N264" s="1">
        <v>136.12</v>
      </c>
      <c r="O264" s="1">
        <v>162.37</v>
      </c>
      <c r="P264" s="1">
        <f t="shared" si="20"/>
        <v>1875.63</v>
      </c>
      <c r="Q264" s="1">
        <v>158.47999999999999</v>
      </c>
      <c r="R264" s="1">
        <v>183.31</v>
      </c>
      <c r="S264" s="1">
        <f t="shared" si="21"/>
        <v>617.44000000000005</v>
      </c>
      <c r="T264" s="1">
        <v>149.39000000000001</v>
      </c>
      <c r="U264" s="1">
        <v>135.44</v>
      </c>
      <c r="V264" s="1">
        <f t="shared" si="22"/>
        <v>432.1</v>
      </c>
      <c r="W264" s="1">
        <v>147.26999999999998</v>
      </c>
      <c r="Y264" s="1">
        <f t="shared" si="23"/>
        <v>142.76999999999998</v>
      </c>
      <c r="Z264" s="1">
        <v>137.68181818181819</v>
      </c>
      <c r="AA264" s="1">
        <v>142.76999999999998</v>
      </c>
      <c r="AB264" s="1">
        <v>148.07272727272729</v>
      </c>
      <c r="AC264" s="1">
        <v>130.96</v>
      </c>
      <c r="AD264" s="1">
        <v>146.23000000000002</v>
      </c>
      <c r="AE264" s="1">
        <v>154.12000000000003</v>
      </c>
      <c r="AF264" s="1">
        <v>151.78000000000003</v>
      </c>
      <c r="AG264" s="2">
        <v>143</v>
      </c>
      <c r="AH264" s="1">
        <v>152.05000000000001</v>
      </c>
      <c r="AI264">
        <f>SUM('Cleaned Data'!AC264,'Cleaned Data'!AE264,'Cleaned Data'!Z264,'Cleaned Data'!AA264)</f>
        <v>565.53181818181815</v>
      </c>
      <c r="AJ264" s="1">
        <f t="shared" si="24"/>
        <v>141.38295454545454</v>
      </c>
    </row>
    <row r="265" spans="1:36">
      <c r="A265" t="s">
        <v>6</v>
      </c>
      <c r="B265">
        <v>2020</v>
      </c>
      <c r="C265" t="s">
        <v>21</v>
      </c>
      <c r="D265" s="1">
        <v>147.25</v>
      </c>
      <c r="E265" s="1">
        <v>183.62</v>
      </c>
      <c r="F265">
        <v>156.36000000000001</v>
      </c>
      <c r="G265">
        <v>153</v>
      </c>
      <c r="H265" s="1">
        <v>136.83000000000001</v>
      </c>
      <c r="I265" s="1">
        <v>147.31</v>
      </c>
      <c r="J265" s="1">
        <v>185.55</v>
      </c>
      <c r="K265" s="1">
        <v>149.35</v>
      </c>
      <c r="L265" s="1">
        <v>115.3</v>
      </c>
      <c r="M265" s="1">
        <v>158.02000000000001</v>
      </c>
      <c r="N265" s="1">
        <v>140.66999999999999</v>
      </c>
      <c r="O265" s="1">
        <v>161.79</v>
      </c>
      <c r="P265" s="1">
        <f t="shared" si="20"/>
        <v>1850.6299999999997</v>
      </c>
      <c r="Q265" s="1">
        <v>156.25</v>
      </c>
      <c r="R265">
        <v>179.9</v>
      </c>
      <c r="S265" s="1">
        <f t="shared" si="21"/>
        <v>614.54</v>
      </c>
      <c r="T265">
        <v>152.69999999999999</v>
      </c>
      <c r="U265" s="1">
        <v>143.65</v>
      </c>
      <c r="V265" s="1">
        <f t="shared" si="22"/>
        <v>447.72</v>
      </c>
      <c r="W265" s="1">
        <v>151.36999999999998</v>
      </c>
      <c r="Y265" s="1">
        <f t="shared" si="23"/>
        <v>147.65</v>
      </c>
      <c r="Z265" s="1">
        <v>144.16363636363633</v>
      </c>
      <c r="AA265" s="1">
        <v>147.65</v>
      </c>
      <c r="AB265" s="1">
        <v>154.28181818181815</v>
      </c>
      <c r="AC265" s="1">
        <v>136.09</v>
      </c>
      <c r="AD265" s="1">
        <v>141.55000000000001</v>
      </c>
      <c r="AE265" s="1">
        <v>157.36999999999998</v>
      </c>
      <c r="AF265" s="1">
        <v>152.42000000000002</v>
      </c>
      <c r="AG265" s="1">
        <v>147.61000000000001</v>
      </c>
      <c r="AH265" s="1">
        <v>153.38000000000002</v>
      </c>
      <c r="AI265">
        <f>SUM('Cleaned Data'!AC265,'Cleaned Data'!AE265,'Cleaned Data'!Z265,'Cleaned Data'!AA265)</f>
        <v>585.27363636363634</v>
      </c>
      <c r="AJ265" s="1">
        <f t="shared" si="24"/>
        <v>146.31840909090909</v>
      </c>
    </row>
    <row r="266" spans="1:36">
      <c r="A266" t="s">
        <v>93</v>
      </c>
      <c r="B266">
        <v>2020</v>
      </c>
      <c r="C266" t="s">
        <v>23</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s="1">
        <f t="shared" si="20"/>
        <v>1808.9</v>
      </c>
      <c r="Q266">
        <v>152.30000000000001</v>
      </c>
      <c r="R266">
        <v>182.4</v>
      </c>
      <c r="S266" s="1">
        <f t="shared" si="21"/>
        <v>628.9</v>
      </c>
      <c r="T266">
        <v>154.69999999999999</v>
      </c>
      <c r="U266">
        <v>150</v>
      </c>
      <c r="V266" s="1">
        <f t="shared" si="22"/>
        <v>458.79999999999995</v>
      </c>
      <c r="W266">
        <v>154.1</v>
      </c>
      <c r="X266">
        <v>154.69999999999999</v>
      </c>
      <c r="Y266" s="1">
        <f t="shared" si="23"/>
        <v>306.39999999999998</v>
      </c>
      <c r="Z266">
        <v>144.9</v>
      </c>
      <c r="AA266">
        <v>151.69999999999999</v>
      </c>
      <c r="AB266">
        <v>158.19999999999999</v>
      </c>
      <c r="AC266">
        <v>141.4</v>
      </c>
      <c r="AD266">
        <v>153.19999999999999</v>
      </c>
      <c r="AE266">
        <v>161.80000000000001</v>
      </c>
      <c r="AF266">
        <v>151.19999999999999</v>
      </c>
      <c r="AG266">
        <v>151.69999999999999</v>
      </c>
      <c r="AH266">
        <v>152.69999999999999</v>
      </c>
      <c r="AI266">
        <f>SUM('Cleaned Data'!AC266,'Cleaned Data'!AE266,'Cleaned Data'!Z266,'Cleaned Data'!AA266)</f>
        <v>599.79999999999995</v>
      </c>
      <c r="AJ266" s="1">
        <f t="shared" si="24"/>
        <v>149.95000000000002</v>
      </c>
    </row>
    <row r="267" spans="1:36">
      <c r="A267" t="s">
        <v>94</v>
      </c>
      <c r="B267">
        <v>2020</v>
      </c>
      <c r="C267" t="s">
        <v>23</v>
      </c>
      <c r="D267">
        <v>152.69999999999999</v>
      </c>
      <c r="E267">
        <v>197</v>
      </c>
      <c r="F267">
        <v>154.6</v>
      </c>
      <c r="G267">
        <v>153.4</v>
      </c>
      <c r="H267">
        <v>132.9</v>
      </c>
      <c r="I267">
        <v>151.80000000000001</v>
      </c>
      <c r="J267">
        <v>171.2</v>
      </c>
      <c r="K267">
        <v>152</v>
      </c>
      <c r="L267">
        <v>116.3</v>
      </c>
      <c r="M267">
        <v>158.80000000000001</v>
      </c>
      <c r="N267">
        <v>135.6</v>
      </c>
      <c r="O267">
        <v>161.69999999999999</v>
      </c>
      <c r="P267" s="1">
        <f t="shared" si="20"/>
        <v>1859.4</v>
      </c>
      <c r="Q267">
        <v>157</v>
      </c>
      <c r="R267">
        <v>186.7</v>
      </c>
      <c r="S267" s="1">
        <f t="shared" si="21"/>
        <v>619</v>
      </c>
      <c r="T267">
        <v>149.1</v>
      </c>
      <c r="U267">
        <v>136.6</v>
      </c>
      <c r="V267" s="1">
        <f t="shared" si="22"/>
        <v>432.9</v>
      </c>
      <c r="W267">
        <v>147.19999999999999</v>
      </c>
      <c r="X267">
        <v>154.69999999999999</v>
      </c>
      <c r="Y267" s="1">
        <f t="shared" si="23"/>
        <v>295.10000000000002</v>
      </c>
      <c r="Z267">
        <v>137.1</v>
      </c>
      <c r="AA267">
        <v>140.4</v>
      </c>
      <c r="AB267">
        <v>148.1</v>
      </c>
      <c r="AC267">
        <v>129.30000000000001</v>
      </c>
      <c r="AD267">
        <v>144.5</v>
      </c>
      <c r="AE267">
        <v>152.5</v>
      </c>
      <c r="AF267">
        <v>152.19999999999999</v>
      </c>
      <c r="AG267">
        <v>142</v>
      </c>
      <c r="AH267">
        <v>150.80000000000001</v>
      </c>
      <c r="AI267">
        <f>SUM('Cleaned Data'!AC267,'Cleaned Data'!AE267,'Cleaned Data'!Z267,'Cleaned Data'!AA267)</f>
        <v>559.29999999999995</v>
      </c>
      <c r="AJ267" s="1">
        <f t="shared" si="24"/>
        <v>139.82500000000002</v>
      </c>
    </row>
    <row r="268" spans="1:36">
      <c r="A268" t="s">
        <v>6</v>
      </c>
      <c r="B268">
        <v>2020</v>
      </c>
      <c r="C268" t="s">
        <v>23</v>
      </c>
      <c r="D268">
        <v>149.6</v>
      </c>
      <c r="E268">
        <v>192.7</v>
      </c>
      <c r="F268">
        <v>151.4</v>
      </c>
      <c r="G268">
        <v>153.30000000000001</v>
      </c>
      <c r="H268">
        <v>136.30000000000001</v>
      </c>
      <c r="I268">
        <v>147.19999999999999</v>
      </c>
      <c r="J268">
        <v>156.5</v>
      </c>
      <c r="K268">
        <v>150.9</v>
      </c>
      <c r="L268">
        <v>114.2</v>
      </c>
      <c r="M268">
        <v>159.5</v>
      </c>
      <c r="N268">
        <v>139.4</v>
      </c>
      <c r="O268">
        <v>161.80000000000001</v>
      </c>
      <c r="P268" s="1">
        <f t="shared" si="20"/>
        <v>1827.3999999999999</v>
      </c>
      <c r="Q268">
        <v>154</v>
      </c>
      <c r="R268">
        <v>183.5</v>
      </c>
      <c r="S268" s="1">
        <f t="shared" si="21"/>
        <v>622.79999999999995</v>
      </c>
      <c r="T268">
        <v>152.5</v>
      </c>
      <c r="U268">
        <v>144.4</v>
      </c>
      <c r="V268" s="1">
        <f t="shared" si="22"/>
        <v>448.29999999999995</v>
      </c>
      <c r="W268">
        <v>151.4</v>
      </c>
      <c r="X268">
        <v>154.69999999999999</v>
      </c>
      <c r="Y268" s="1">
        <f t="shared" si="23"/>
        <v>301.10000000000002</v>
      </c>
      <c r="Z268">
        <v>141.9</v>
      </c>
      <c r="AA268">
        <v>146.4</v>
      </c>
      <c r="AB268">
        <v>154.4</v>
      </c>
      <c r="AC268">
        <v>135</v>
      </c>
      <c r="AD268">
        <v>148.30000000000001</v>
      </c>
      <c r="AE268">
        <v>156.4</v>
      </c>
      <c r="AF268">
        <v>151.6</v>
      </c>
      <c r="AG268">
        <v>147</v>
      </c>
      <c r="AH268">
        <v>151.80000000000001</v>
      </c>
      <c r="AI268">
        <f>SUM('Cleaned Data'!AC268,'Cleaned Data'!AE268,'Cleaned Data'!Z268,'Cleaned Data'!AA268)</f>
        <v>579.69999999999993</v>
      </c>
      <c r="AJ268" s="1">
        <f t="shared" si="24"/>
        <v>144.92499999999998</v>
      </c>
    </row>
    <row r="269" spans="1:36">
      <c r="A269" t="s">
        <v>93</v>
      </c>
      <c r="B269">
        <v>2020</v>
      </c>
      <c r="C269" t="s">
        <v>25</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s="1">
        <f t="shared" si="20"/>
        <v>1808.9</v>
      </c>
      <c r="Q269">
        <v>152.30000000000001</v>
      </c>
      <c r="R269">
        <v>182.4</v>
      </c>
      <c r="S269" s="1">
        <f t="shared" si="21"/>
        <v>628.9</v>
      </c>
      <c r="T269">
        <v>154.69999999999999</v>
      </c>
      <c r="U269">
        <v>150</v>
      </c>
      <c r="V269" s="1">
        <f t="shared" si="22"/>
        <v>458.79999999999995</v>
      </c>
      <c r="W269">
        <v>154.1</v>
      </c>
      <c r="X269">
        <v>154.69999999999999</v>
      </c>
      <c r="Y269" s="1">
        <f t="shared" si="23"/>
        <v>306.39999999999998</v>
      </c>
      <c r="Z269">
        <v>144.9</v>
      </c>
      <c r="AA269">
        <v>151.69999999999999</v>
      </c>
      <c r="AB269">
        <v>158.19999999999999</v>
      </c>
      <c r="AC269">
        <v>141.4</v>
      </c>
      <c r="AD269">
        <v>153.19999999999999</v>
      </c>
      <c r="AE269">
        <v>161.80000000000001</v>
      </c>
      <c r="AF269">
        <v>151.19999999999999</v>
      </c>
      <c r="AG269">
        <v>151.69999999999999</v>
      </c>
      <c r="AH269">
        <v>152.69999999999999</v>
      </c>
      <c r="AI269">
        <f>SUM('Cleaned Data'!AC269,'Cleaned Data'!AE269,'Cleaned Data'!Z269,'Cleaned Data'!AA269)</f>
        <v>599.79999999999995</v>
      </c>
      <c r="AJ269" s="1">
        <f t="shared" si="24"/>
        <v>149.95000000000002</v>
      </c>
    </row>
    <row r="270" spans="1:36">
      <c r="A270" t="s">
        <v>94</v>
      </c>
      <c r="B270">
        <v>2020</v>
      </c>
      <c r="C270" t="s">
        <v>25</v>
      </c>
      <c r="D270">
        <v>152.69999999999999</v>
      </c>
      <c r="E270">
        <v>197</v>
      </c>
      <c r="F270">
        <v>154.6</v>
      </c>
      <c r="G270">
        <v>153.4</v>
      </c>
      <c r="H270">
        <v>132.9</v>
      </c>
      <c r="I270">
        <v>151.80000000000001</v>
      </c>
      <c r="J270">
        <v>171.2</v>
      </c>
      <c r="K270">
        <v>152</v>
      </c>
      <c r="L270">
        <v>116.3</v>
      </c>
      <c r="M270">
        <v>158.80000000000001</v>
      </c>
      <c r="N270">
        <v>135.6</v>
      </c>
      <c r="O270">
        <v>161.69999999999999</v>
      </c>
      <c r="P270" s="1">
        <f t="shared" si="20"/>
        <v>1859.4</v>
      </c>
      <c r="Q270">
        <v>157</v>
      </c>
      <c r="R270">
        <v>186.7</v>
      </c>
      <c r="S270" s="1">
        <f t="shared" si="21"/>
        <v>619</v>
      </c>
      <c r="T270">
        <v>149.1</v>
      </c>
      <c r="U270">
        <v>136.6</v>
      </c>
      <c r="V270" s="1">
        <f t="shared" si="22"/>
        <v>432.9</v>
      </c>
      <c r="W270">
        <v>147.19999999999999</v>
      </c>
      <c r="X270">
        <v>154.69999999999999</v>
      </c>
      <c r="Y270" s="1">
        <f t="shared" si="23"/>
        <v>295.10000000000002</v>
      </c>
      <c r="Z270">
        <v>137.1</v>
      </c>
      <c r="AA270">
        <v>140.4</v>
      </c>
      <c r="AB270">
        <v>148.1</v>
      </c>
      <c r="AC270">
        <v>129.30000000000001</v>
      </c>
      <c r="AD270">
        <v>144.5</v>
      </c>
      <c r="AE270">
        <v>152.5</v>
      </c>
      <c r="AF270">
        <v>152.19999999999999</v>
      </c>
      <c r="AG270">
        <v>142</v>
      </c>
      <c r="AH270">
        <v>150.80000000000001</v>
      </c>
      <c r="AI270">
        <f>SUM('Cleaned Data'!AC270,'Cleaned Data'!AE270,'Cleaned Data'!Z270,'Cleaned Data'!AA270)</f>
        <v>559.29999999999995</v>
      </c>
      <c r="AJ270" s="1">
        <f t="shared" si="24"/>
        <v>139.82500000000002</v>
      </c>
    </row>
    <row r="271" spans="1:36">
      <c r="A271" t="s">
        <v>6</v>
      </c>
      <c r="B271">
        <v>2020</v>
      </c>
      <c r="C271" t="s">
        <v>25</v>
      </c>
      <c r="D271">
        <v>149.6</v>
      </c>
      <c r="E271">
        <v>192.7</v>
      </c>
      <c r="F271">
        <v>151.4</v>
      </c>
      <c r="G271">
        <v>153.30000000000001</v>
      </c>
      <c r="H271">
        <v>136.30000000000001</v>
      </c>
      <c r="I271">
        <v>147.19999999999999</v>
      </c>
      <c r="J271">
        <v>156.5</v>
      </c>
      <c r="K271">
        <v>150.9</v>
      </c>
      <c r="L271">
        <v>114.2</v>
      </c>
      <c r="M271">
        <v>159.5</v>
      </c>
      <c r="N271">
        <v>139.4</v>
      </c>
      <c r="O271">
        <v>161.80000000000001</v>
      </c>
      <c r="P271" s="1">
        <f t="shared" si="20"/>
        <v>1827.3999999999999</v>
      </c>
      <c r="Q271">
        <v>154</v>
      </c>
      <c r="R271">
        <v>183.5</v>
      </c>
      <c r="S271" s="1">
        <f t="shared" si="21"/>
        <v>622.79999999999995</v>
      </c>
      <c r="T271">
        <v>152.5</v>
      </c>
      <c r="U271">
        <v>144.4</v>
      </c>
      <c r="V271" s="1">
        <f t="shared" si="22"/>
        <v>448.29999999999995</v>
      </c>
      <c r="W271">
        <v>151.4</v>
      </c>
      <c r="X271">
        <v>154.69999999999999</v>
      </c>
      <c r="Y271" s="1">
        <f t="shared" si="23"/>
        <v>301.10000000000002</v>
      </c>
      <c r="Z271">
        <v>141.9</v>
      </c>
      <c r="AA271">
        <v>146.4</v>
      </c>
      <c r="AB271">
        <v>154.4</v>
      </c>
      <c r="AC271">
        <v>135</v>
      </c>
      <c r="AD271">
        <v>148.30000000000001</v>
      </c>
      <c r="AE271">
        <v>156.4</v>
      </c>
      <c r="AF271">
        <v>151.6</v>
      </c>
      <c r="AG271">
        <v>147</v>
      </c>
      <c r="AH271">
        <v>151.80000000000001</v>
      </c>
      <c r="AI271">
        <f>SUM('Cleaned Data'!AC271,'Cleaned Data'!AE271,'Cleaned Data'!Z271,'Cleaned Data'!AA271)</f>
        <v>579.69999999999993</v>
      </c>
      <c r="AJ271" s="1">
        <f t="shared" si="24"/>
        <v>144.92499999999998</v>
      </c>
    </row>
    <row r="272" spans="1:36">
      <c r="A272" t="s">
        <v>93</v>
      </c>
      <c r="B272">
        <v>2020</v>
      </c>
      <c r="C272" t="s">
        <v>27</v>
      </c>
      <c r="D272">
        <v>147.6</v>
      </c>
      <c r="E272">
        <v>187.2</v>
      </c>
      <c r="F272">
        <v>148.4</v>
      </c>
      <c r="G272">
        <v>153.30000000000001</v>
      </c>
      <c r="H272">
        <v>139.80000000000001</v>
      </c>
      <c r="I272">
        <v>146.9</v>
      </c>
      <c r="J272">
        <v>171</v>
      </c>
      <c r="K272">
        <v>149.9</v>
      </c>
      <c r="L272">
        <v>114.2</v>
      </c>
      <c r="M272">
        <v>160</v>
      </c>
      <c r="N272">
        <v>143.5</v>
      </c>
      <c r="O272">
        <v>161.5</v>
      </c>
      <c r="P272" s="1">
        <f t="shared" si="20"/>
        <v>1835.1</v>
      </c>
      <c r="Q272">
        <v>155.30000000000001</v>
      </c>
      <c r="R272">
        <v>180.9</v>
      </c>
      <c r="S272" s="1">
        <f t="shared" si="21"/>
        <v>630.19999999999993</v>
      </c>
      <c r="T272">
        <v>155.1</v>
      </c>
      <c r="U272">
        <v>149.30000000000001</v>
      </c>
      <c r="V272" s="1">
        <f t="shared" si="22"/>
        <v>458.7</v>
      </c>
      <c r="W272">
        <v>154.30000000000001</v>
      </c>
      <c r="X272">
        <v>155.5</v>
      </c>
      <c r="Y272" s="1">
        <f t="shared" si="23"/>
        <v>307.39999999999998</v>
      </c>
      <c r="Z272">
        <v>145.80000000000001</v>
      </c>
      <c r="AA272">
        <v>151.9</v>
      </c>
      <c r="AB272">
        <v>158.80000000000001</v>
      </c>
      <c r="AC272">
        <v>143.6</v>
      </c>
      <c r="AD272">
        <v>152.19999999999999</v>
      </c>
      <c r="AE272">
        <v>162.69999999999999</v>
      </c>
      <c r="AF272">
        <v>153.6</v>
      </c>
      <c r="AG272">
        <v>153</v>
      </c>
      <c r="AH272">
        <v>154.69999999999999</v>
      </c>
      <c r="AI272">
        <f>SUM('Cleaned Data'!AC272,'Cleaned Data'!AE272,'Cleaned Data'!Z272,'Cleaned Data'!AA272)</f>
        <v>604</v>
      </c>
      <c r="AJ272" s="1">
        <f t="shared" si="24"/>
        <v>151</v>
      </c>
    </row>
    <row r="273" spans="1:36">
      <c r="A273" t="s">
        <v>94</v>
      </c>
      <c r="B273">
        <v>2020</v>
      </c>
      <c r="C273" t="s">
        <v>27</v>
      </c>
      <c r="D273">
        <v>151.6</v>
      </c>
      <c r="E273">
        <v>197.8</v>
      </c>
      <c r="F273">
        <v>154.5</v>
      </c>
      <c r="G273">
        <v>153.4</v>
      </c>
      <c r="H273">
        <v>133.4</v>
      </c>
      <c r="I273">
        <v>154.5</v>
      </c>
      <c r="J273">
        <v>191.9</v>
      </c>
      <c r="K273">
        <v>151.30000000000001</v>
      </c>
      <c r="L273">
        <v>116.8</v>
      </c>
      <c r="M273">
        <v>160</v>
      </c>
      <c r="N273">
        <v>136.5</v>
      </c>
      <c r="O273">
        <v>163.30000000000001</v>
      </c>
      <c r="P273" s="1">
        <f t="shared" si="20"/>
        <v>1888.4</v>
      </c>
      <c r="Q273">
        <v>159.9</v>
      </c>
      <c r="R273">
        <v>187.2</v>
      </c>
      <c r="S273" s="1">
        <f t="shared" si="21"/>
        <v>620.09999999999991</v>
      </c>
      <c r="T273">
        <v>150</v>
      </c>
      <c r="U273">
        <v>135.19999999999999</v>
      </c>
      <c r="V273" s="1">
        <f t="shared" si="22"/>
        <v>433</v>
      </c>
      <c r="W273">
        <v>147.80000000000001</v>
      </c>
      <c r="X273">
        <v>155.5</v>
      </c>
      <c r="Y273" s="1">
        <f t="shared" si="23"/>
        <v>300</v>
      </c>
      <c r="Z273">
        <v>138.30000000000001</v>
      </c>
      <c r="AA273">
        <v>144.5</v>
      </c>
      <c r="AB273">
        <v>148.69999999999999</v>
      </c>
      <c r="AC273">
        <v>133.9</v>
      </c>
      <c r="AD273">
        <v>141.19999999999999</v>
      </c>
      <c r="AE273">
        <v>155.5</v>
      </c>
      <c r="AF273">
        <v>155.19999999999999</v>
      </c>
      <c r="AG273">
        <v>144.80000000000001</v>
      </c>
      <c r="AH273">
        <v>152.9</v>
      </c>
      <c r="AI273">
        <f>SUM('Cleaned Data'!AC273,'Cleaned Data'!AE273,'Cleaned Data'!Z273,'Cleaned Data'!AA273)</f>
        <v>572.20000000000005</v>
      </c>
      <c r="AJ273" s="1">
        <f t="shared" si="24"/>
        <v>143.05000000000001</v>
      </c>
    </row>
    <row r="274" spans="1:36">
      <c r="A274" t="s">
        <v>6</v>
      </c>
      <c r="B274">
        <v>2020</v>
      </c>
      <c r="C274" t="s">
        <v>27</v>
      </c>
      <c r="D274">
        <v>148.9</v>
      </c>
      <c r="E274">
        <v>190.9</v>
      </c>
      <c r="F274">
        <v>150.80000000000001</v>
      </c>
      <c r="G274">
        <v>153.30000000000001</v>
      </c>
      <c r="H274">
        <v>137.4</v>
      </c>
      <c r="I274">
        <v>150.4</v>
      </c>
      <c r="J274">
        <v>178.1</v>
      </c>
      <c r="K274">
        <v>150.4</v>
      </c>
      <c r="L274">
        <v>115.1</v>
      </c>
      <c r="M274">
        <v>160</v>
      </c>
      <c r="N274">
        <v>140.6</v>
      </c>
      <c r="O274">
        <v>162.30000000000001</v>
      </c>
      <c r="P274" s="1">
        <f t="shared" si="20"/>
        <v>1854.6000000000001</v>
      </c>
      <c r="Q274">
        <v>157</v>
      </c>
      <c r="R274">
        <v>182.6</v>
      </c>
      <c r="S274" s="1">
        <f t="shared" si="21"/>
        <v>623.5</v>
      </c>
      <c r="T274">
        <v>153.1</v>
      </c>
      <c r="U274">
        <v>143.4</v>
      </c>
      <c r="V274" s="1">
        <f t="shared" si="22"/>
        <v>448.2</v>
      </c>
      <c r="W274">
        <v>151.69999999999999</v>
      </c>
      <c r="X274">
        <v>155.5</v>
      </c>
      <c r="Y274" s="1">
        <f t="shared" si="23"/>
        <v>303.89999999999998</v>
      </c>
      <c r="Z274">
        <v>143</v>
      </c>
      <c r="AA274">
        <v>148.4</v>
      </c>
      <c r="AB274">
        <v>155</v>
      </c>
      <c r="AC274">
        <v>138.5</v>
      </c>
      <c r="AD274">
        <v>146</v>
      </c>
      <c r="AE274">
        <v>158.5</v>
      </c>
      <c r="AF274">
        <v>154.30000000000001</v>
      </c>
      <c r="AG274">
        <v>149</v>
      </c>
      <c r="AH274">
        <v>153.9</v>
      </c>
      <c r="AI274">
        <f>SUM('Cleaned Data'!AC274,'Cleaned Data'!AE274,'Cleaned Data'!Z274,'Cleaned Data'!AA274)</f>
        <v>588.4</v>
      </c>
      <c r="AJ274" s="1">
        <f t="shared" si="24"/>
        <v>147.1</v>
      </c>
    </row>
    <row r="275" spans="1:36">
      <c r="A275" t="s">
        <v>93</v>
      </c>
      <c r="B275">
        <v>2020</v>
      </c>
      <c r="C275" t="s">
        <v>29</v>
      </c>
      <c r="D275">
        <v>146.9</v>
      </c>
      <c r="E275">
        <v>183.9</v>
      </c>
      <c r="F275">
        <v>149.5</v>
      </c>
      <c r="G275">
        <v>153.4</v>
      </c>
      <c r="H275">
        <v>140.4</v>
      </c>
      <c r="I275">
        <v>147</v>
      </c>
      <c r="J275">
        <v>178.8</v>
      </c>
      <c r="K275">
        <v>149.30000000000001</v>
      </c>
      <c r="L275">
        <v>115.1</v>
      </c>
      <c r="M275">
        <v>160</v>
      </c>
      <c r="N275">
        <v>145.4</v>
      </c>
      <c r="O275">
        <v>161.6</v>
      </c>
      <c r="P275" s="1">
        <f t="shared" si="20"/>
        <v>1842.0000000000002</v>
      </c>
      <c r="Q275">
        <v>156.1</v>
      </c>
      <c r="R275">
        <v>182.9</v>
      </c>
      <c r="S275" s="1">
        <f t="shared" si="21"/>
        <v>638.5</v>
      </c>
      <c r="T275">
        <v>155.4</v>
      </c>
      <c r="U275">
        <v>149.9</v>
      </c>
      <c r="V275" s="1">
        <f t="shared" si="22"/>
        <v>459.9</v>
      </c>
      <c r="W275">
        <v>154.6</v>
      </c>
      <c r="X275">
        <v>156.30000000000001</v>
      </c>
      <c r="Y275" s="1">
        <f t="shared" si="23"/>
        <v>307.89999999999998</v>
      </c>
      <c r="Z275">
        <v>146.4</v>
      </c>
      <c r="AA275">
        <v>151.6</v>
      </c>
      <c r="AB275">
        <v>159.1</v>
      </c>
      <c r="AC275">
        <v>144.6</v>
      </c>
      <c r="AD275">
        <v>152.80000000000001</v>
      </c>
      <c r="AE275">
        <v>161.1</v>
      </c>
      <c r="AF275">
        <v>157.4</v>
      </c>
      <c r="AG275">
        <v>153.69999999999999</v>
      </c>
      <c r="AH275">
        <v>155.4</v>
      </c>
      <c r="AI275">
        <f>SUM('Cleaned Data'!AC275,'Cleaned Data'!AE275,'Cleaned Data'!Z275,'Cleaned Data'!AA275)</f>
        <v>603.70000000000005</v>
      </c>
      <c r="AJ275" s="1">
        <f t="shared" si="24"/>
        <v>150.92499999999998</v>
      </c>
    </row>
    <row r="276" spans="1:36">
      <c r="A276" t="s">
        <v>94</v>
      </c>
      <c r="B276">
        <v>2020</v>
      </c>
      <c r="C276" t="s">
        <v>29</v>
      </c>
      <c r="D276">
        <v>151.5</v>
      </c>
      <c r="E276">
        <v>193.1</v>
      </c>
      <c r="F276">
        <v>157.30000000000001</v>
      </c>
      <c r="G276">
        <v>153.9</v>
      </c>
      <c r="H276">
        <v>134.4</v>
      </c>
      <c r="I276">
        <v>155.4</v>
      </c>
      <c r="J276">
        <v>202</v>
      </c>
      <c r="K276">
        <v>150.80000000000001</v>
      </c>
      <c r="L276">
        <v>118.9</v>
      </c>
      <c r="M276">
        <v>160.9</v>
      </c>
      <c r="N276">
        <v>137.69999999999999</v>
      </c>
      <c r="O276">
        <v>164.4</v>
      </c>
      <c r="P276" s="1">
        <f t="shared" si="20"/>
        <v>1903.8999999999999</v>
      </c>
      <c r="Q276">
        <v>161.30000000000001</v>
      </c>
      <c r="R276">
        <v>188.7</v>
      </c>
      <c r="S276" s="1">
        <f t="shared" si="21"/>
        <v>628</v>
      </c>
      <c r="T276">
        <v>150.19999999999999</v>
      </c>
      <c r="U276">
        <v>136.30000000000001</v>
      </c>
      <c r="V276" s="1">
        <f t="shared" si="22"/>
        <v>434.6</v>
      </c>
      <c r="W276">
        <v>148.1</v>
      </c>
      <c r="X276">
        <v>156.30000000000001</v>
      </c>
      <c r="Y276" s="1">
        <f t="shared" si="23"/>
        <v>301.70000000000005</v>
      </c>
      <c r="Z276">
        <v>137.19999999999999</v>
      </c>
      <c r="AA276">
        <v>145.4</v>
      </c>
      <c r="AB276">
        <v>150</v>
      </c>
      <c r="AC276">
        <v>135.1</v>
      </c>
      <c r="AD276">
        <v>141.80000000000001</v>
      </c>
      <c r="AE276">
        <v>154.9</v>
      </c>
      <c r="AF276">
        <v>159.80000000000001</v>
      </c>
      <c r="AG276">
        <v>146</v>
      </c>
      <c r="AH276">
        <v>154</v>
      </c>
      <c r="AI276">
        <f>SUM('Cleaned Data'!AC276,'Cleaned Data'!AE276,'Cleaned Data'!Z276,'Cleaned Data'!AA276)</f>
        <v>572.6</v>
      </c>
      <c r="AJ276" s="1">
        <f t="shared" si="24"/>
        <v>143.14999999999998</v>
      </c>
    </row>
    <row r="277" spans="1:36">
      <c r="A277" t="s">
        <v>6</v>
      </c>
      <c r="B277">
        <v>2020</v>
      </c>
      <c r="C277" t="s">
        <v>29</v>
      </c>
      <c r="D277">
        <v>148.4</v>
      </c>
      <c r="E277">
        <v>187.1</v>
      </c>
      <c r="F277">
        <v>152.5</v>
      </c>
      <c r="G277">
        <v>153.6</v>
      </c>
      <c r="H277">
        <v>138.19999999999999</v>
      </c>
      <c r="I277">
        <v>150.9</v>
      </c>
      <c r="J277">
        <v>186.7</v>
      </c>
      <c r="K277">
        <v>149.80000000000001</v>
      </c>
      <c r="L277">
        <v>116.4</v>
      </c>
      <c r="M277">
        <v>160.30000000000001</v>
      </c>
      <c r="N277">
        <v>142.19999999999999</v>
      </c>
      <c r="O277">
        <v>162.9</v>
      </c>
      <c r="P277" s="1">
        <f t="shared" si="20"/>
        <v>1864.8</v>
      </c>
      <c r="Q277">
        <v>158</v>
      </c>
      <c r="R277">
        <v>184.4</v>
      </c>
      <c r="S277" s="1">
        <f t="shared" si="21"/>
        <v>631.6</v>
      </c>
      <c r="T277">
        <v>153.4</v>
      </c>
      <c r="U277">
        <v>144.30000000000001</v>
      </c>
      <c r="V277" s="1">
        <f t="shared" si="22"/>
        <v>449.70000000000005</v>
      </c>
      <c r="W277">
        <v>152</v>
      </c>
      <c r="X277">
        <v>156.30000000000001</v>
      </c>
      <c r="Y277" s="1">
        <f t="shared" si="23"/>
        <v>305</v>
      </c>
      <c r="Z277">
        <v>142.9</v>
      </c>
      <c r="AA277">
        <v>148.69999999999999</v>
      </c>
      <c r="AB277">
        <v>155.6</v>
      </c>
      <c r="AC277">
        <v>139.6</v>
      </c>
      <c r="AD277">
        <v>146.6</v>
      </c>
      <c r="AE277">
        <v>157.5</v>
      </c>
      <c r="AF277">
        <v>158.4</v>
      </c>
      <c r="AG277">
        <v>150</v>
      </c>
      <c r="AH277">
        <v>154.69999999999999</v>
      </c>
      <c r="AI277">
        <f>SUM('Cleaned Data'!AC277,'Cleaned Data'!AE277,'Cleaned Data'!Z277,'Cleaned Data'!AA277)</f>
        <v>588.70000000000005</v>
      </c>
      <c r="AJ277" s="1">
        <f t="shared" si="24"/>
        <v>147.17500000000001</v>
      </c>
    </row>
    <row r="278" spans="1:36">
      <c r="A278" t="s">
        <v>93</v>
      </c>
      <c r="B278">
        <v>2020</v>
      </c>
      <c r="C278" t="s">
        <v>31</v>
      </c>
      <c r="D278">
        <v>146</v>
      </c>
      <c r="E278">
        <v>186.3</v>
      </c>
      <c r="F278">
        <v>159.19999999999999</v>
      </c>
      <c r="G278">
        <v>153.6</v>
      </c>
      <c r="H278">
        <v>142.6</v>
      </c>
      <c r="I278">
        <v>147.19999999999999</v>
      </c>
      <c r="J278">
        <v>200.6</v>
      </c>
      <c r="K278">
        <v>150.30000000000001</v>
      </c>
      <c r="L278">
        <v>115.3</v>
      </c>
      <c r="M278">
        <v>160.9</v>
      </c>
      <c r="N278">
        <v>147.4</v>
      </c>
      <c r="O278">
        <v>161.9</v>
      </c>
      <c r="P278" s="1">
        <f t="shared" si="20"/>
        <v>1883.4999999999998</v>
      </c>
      <c r="Q278">
        <v>159.6</v>
      </c>
      <c r="R278">
        <v>182.7</v>
      </c>
      <c r="S278" s="1">
        <f t="shared" si="21"/>
        <v>638.70000000000005</v>
      </c>
      <c r="T278">
        <v>155.69999999999999</v>
      </c>
      <c r="U278">
        <v>150.6</v>
      </c>
      <c r="V278" s="1">
        <f t="shared" si="22"/>
        <v>461.29999999999995</v>
      </c>
      <c r="W278">
        <v>155</v>
      </c>
      <c r="X278">
        <v>156.5</v>
      </c>
      <c r="Y278" s="1">
        <f t="shared" si="23"/>
        <v>308.5</v>
      </c>
      <c r="Z278">
        <v>146.80000000000001</v>
      </c>
      <c r="AA278">
        <v>152</v>
      </c>
      <c r="AB278">
        <v>159.5</v>
      </c>
      <c r="AC278">
        <v>146.4</v>
      </c>
      <c r="AD278">
        <v>152.4</v>
      </c>
      <c r="AE278">
        <v>162.5</v>
      </c>
      <c r="AF278">
        <v>156.19999999999999</v>
      </c>
      <c r="AG278">
        <v>154.30000000000001</v>
      </c>
      <c r="AH278">
        <v>157.5</v>
      </c>
      <c r="AI278">
        <f>SUM('Cleaned Data'!AC278,'Cleaned Data'!AE278,'Cleaned Data'!Z278,'Cleaned Data'!AA278)</f>
        <v>607.70000000000005</v>
      </c>
      <c r="AJ278" s="1">
        <f t="shared" si="24"/>
        <v>151.92500000000001</v>
      </c>
    </row>
    <row r="279" spans="1:36">
      <c r="A279" t="s">
        <v>94</v>
      </c>
      <c r="B279">
        <v>2020</v>
      </c>
      <c r="C279" t="s">
        <v>31</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s="1">
        <f t="shared" si="20"/>
        <v>1941.0000000000002</v>
      </c>
      <c r="Q279">
        <v>164.4</v>
      </c>
      <c r="R279">
        <v>188.7</v>
      </c>
      <c r="S279" s="1">
        <f t="shared" si="21"/>
        <v>628</v>
      </c>
      <c r="T279">
        <v>150.5</v>
      </c>
      <c r="U279">
        <v>136.1</v>
      </c>
      <c r="V279" s="1">
        <f t="shared" si="22"/>
        <v>434.90000000000003</v>
      </c>
      <c r="W279">
        <v>148.30000000000001</v>
      </c>
      <c r="X279">
        <v>156.5</v>
      </c>
      <c r="Y279" s="1">
        <f t="shared" si="23"/>
        <v>301.60000000000002</v>
      </c>
      <c r="Z279">
        <v>137.1</v>
      </c>
      <c r="AA279">
        <v>145.1</v>
      </c>
      <c r="AB279">
        <v>151</v>
      </c>
      <c r="AC279">
        <v>135.4</v>
      </c>
      <c r="AD279">
        <v>142</v>
      </c>
      <c r="AE279">
        <v>155.69999999999999</v>
      </c>
      <c r="AF279">
        <v>158.1</v>
      </c>
      <c r="AG279">
        <v>146.19999999999999</v>
      </c>
      <c r="AH279">
        <v>155.19999999999999</v>
      </c>
      <c r="AI279">
        <f>SUM('Cleaned Data'!AC279,'Cleaned Data'!AE279,'Cleaned Data'!Z279,'Cleaned Data'!AA279)</f>
        <v>573.30000000000007</v>
      </c>
      <c r="AJ279" s="1">
        <f t="shared" si="24"/>
        <v>143.32500000000002</v>
      </c>
    </row>
    <row r="280" spans="1:36">
      <c r="A280" t="s">
        <v>6</v>
      </c>
      <c r="B280">
        <v>2020</v>
      </c>
      <c r="C280" t="s">
        <v>31</v>
      </c>
      <c r="D280">
        <v>147.5</v>
      </c>
      <c r="E280">
        <v>188.9</v>
      </c>
      <c r="F280">
        <v>161.4</v>
      </c>
      <c r="G280">
        <v>153.6</v>
      </c>
      <c r="H280">
        <v>140.1</v>
      </c>
      <c r="I280">
        <v>151.19999999999999</v>
      </c>
      <c r="J280">
        <v>209.2</v>
      </c>
      <c r="K280">
        <v>150.9</v>
      </c>
      <c r="L280">
        <v>116.2</v>
      </c>
      <c r="M280">
        <v>161</v>
      </c>
      <c r="N280">
        <v>144</v>
      </c>
      <c r="O280">
        <v>163.19999999999999</v>
      </c>
      <c r="P280" s="1">
        <f t="shared" si="20"/>
        <v>1904.6000000000001</v>
      </c>
      <c r="Q280">
        <v>161.4</v>
      </c>
      <c r="R280">
        <v>184.3</v>
      </c>
      <c r="S280" s="1">
        <f t="shared" si="21"/>
        <v>631.79999999999995</v>
      </c>
      <c r="T280">
        <v>153.69999999999999</v>
      </c>
      <c r="U280">
        <v>144.6</v>
      </c>
      <c r="V280" s="1">
        <f t="shared" si="22"/>
        <v>450.59999999999997</v>
      </c>
      <c r="W280">
        <v>152.30000000000001</v>
      </c>
      <c r="X280">
        <v>156.5</v>
      </c>
      <c r="Y280" s="1">
        <f t="shared" si="23"/>
        <v>305.2</v>
      </c>
      <c r="Z280">
        <v>143.1</v>
      </c>
      <c r="AA280">
        <v>148.69999999999999</v>
      </c>
      <c r="AB280">
        <v>156.30000000000001</v>
      </c>
      <c r="AC280">
        <v>140.6</v>
      </c>
      <c r="AD280">
        <v>146.5</v>
      </c>
      <c r="AE280">
        <v>158.5</v>
      </c>
      <c r="AF280">
        <v>157</v>
      </c>
      <c r="AG280">
        <v>150.4</v>
      </c>
      <c r="AH280">
        <v>156.4</v>
      </c>
      <c r="AI280">
        <f>SUM('Cleaned Data'!AC280,'Cleaned Data'!AE280,'Cleaned Data'!Z280,'Cleaned Data'!AA280)</f>
        <v>590.90000000000009</v>
      </c>
      <c r="AJ280" s="1">
        <f t="shared" si="24"/>
        <v>147.72499999999999</v>
      </c>
    </row>
    <row r="281" spans="1:36">
      <c r="A281" t="s">
        <v>93</v>
      </c>
      <c r="B281">
        <v>2020</v>
      </c>
      <c r="C281" t="s">
        <v>33</v>
      </c>
      <c r="D281">
        <v>145.4</v>
      </c>
      <c r="E281">
        <v>188.6</v>
      </c>
      <c r="F281">
        <v>171.6</v>
      </c>
      <c r="G281">
        <v>153.80000000000001</v>
      </c>
      <c r="H281">
        <v>145.4</v>
      </c>
      <c r="I281">
        <v>146.5</v>
      </c>
      <c r="J281">
        <v>222.2</v>
      </c>
      <c r="K281">
        <v>155.9</v>
      </c>
      <c r="L281">
        <v>114.9</v>
      </c>
      <c r="M281">
        <v>162</v>
      </c>
      <c r="N281">
        <v>150</v>
      </c>
      <c r="O281">
        <v>162.69999999999999</v>
      </c>
      <c r="P281" s="1">
        <f t="shared" si="20"/>
        <v>1932.4</v>
      </c>
      <c r="Q281">
        <v>163.4</v>
      </c>
      <c r="R281">
        <v>183.4</v>
      </c>
      <c r="S281" s="1">
        <f t="shared" si="21"/>
        <v>643.20000000000005</v>
      </c>
      <c r="T281">
        <v>156.30000000000001</v>
      </c>
      <c r="U281">
        <v>151</v>
      </c>
      <c r="V281" s="1">
        <f t="shared" si="22"/>
        <v>462.8</v>
      </c>
      <c r="W281">
        <v>155.5</v>
      </c>
      <c r="X281">
        <v>158</v>
      </c>
      <c r="Y281" s="1">
        <f t="shared" si="23"/>
        <v>310.8</v>
      </c>
      <c r="Z281">
        <v>147.5</v>
      </c>
      <c r="AA281">
        <v>152.80000000000001</v>
      </c>
      <c r="AB281">
        <v>160.4</v>
      </c>
      <c r="AC281">
        <v>146.1</v>
      </c>
      <c r="AD281">
        <v>153.6</v>
      </c>
      <c r="AE281">
        <v>161.6</v>
      </c>
      <c r="AF281">
        <v>156.19999999999999</v>
      </c>
      <c r="AG281">
        <v>154.5</v>
      </c>
      <c r="AH281">
        <v>159.80000000000001</v>
      </c>
      <c r="AI281">
        <f>SUM('Cleaned Data'!AC281,'Cleaned Data'!AE281,'Cleaned Data'!Z281,'Cleaned Data'!AA281)</f>
        <v>608</v>
      </c>
      <c r="AJ281" s="1">
        <f t="shared" si="24"/>
        <v>152</v>
      </c>
    </row>
    <row r="282" spans="1:36">
      <c r="A282" t="s">
        <v>94</v>
      </c>
      <c r="B282">
        <v>2020</v>
      </c>
      <c r="C282" t="s">
        <v>33</v>
      </c>
      <c r="D282">
        <v>149.69999999999999</v>
      </c>
      <c r="E282">
        <v>195.5</v>
      </c>
      <c r="F282">
        <v>176.9</v>
      </c>
      <c r="G282">
        <v>153.9</v>
      </c>
      <c r="H282">
        <v>138</v>
      </c>
      <c r="I282">
        <v>150.5</v>
      </c>
      <c r="J282">
        <v>245.3</v>
      </c>
      <c r="K282">
        <v>158.69999999999999</v>
      </c>
      <c r="L282">
        <v>117.2</v>
      </c>
      <c r="M282">
        <v>161.4</v>
      </c>
      <c r="N282">
        <v>141.5</v>
      </c>
      <c r="O282">
        <v>165.1</v>
      </c>
      <c r="P282" s="1">
        <f t="shared" si="20"/>
        <v>1979.2000000000003</v>
      </c>
      <c r="Q282">
        <v>167</v>
      </c>
      <c r="R282">
        <v>188.8</v>
      </c>
      <c r="S282" s="1">
        <f t="shared" si="21"/>
        <v>632.6</v>
      </c>
      <c r="T282">
        <v>151.1</v>
      </c>
      <c r="U282">
        <v>136.4</v>
      </c>
      <c r="V282" s="1">
        <f t="shared" si="22"/>
        <v>436.3</v>
      </c>
      <c r="W282">
        <v>148.80000000000001</v>
      </c>
      <c r="X282">
        <v>158</v>
      </c>
      <c r="Y282" s="1">
        <f t="shared" si="23"/>
        <v>303.10000000000002</v>
      </c>
      <c r="Z282">
        <v>137.30000000000001</v>
      </c>
      <c r="AA282">
        <v>145.1</v>
      </c>
      <c r="AB282">
        <v>152</v>
      </c>
      <c r="AC282">
        <v>135.19999999999999</v>
      </c>
      <c r="AD282">
        <v>144.4</v>
      </c>
      <c r="AE282">
        <v>156.4</v>
      </c>
      <c r="AF282">
        <v>157.9</v>
      </c>
      <c r="AG282">
        <v>146.6</v>
      </c>
      <c r="AH282">
        <v>156.69999999999999</v>
      </c>
      <c r="AI282">
        <f>SUM('Cleaned Data'!AC282,'Cleaned Data'!AE282,'Cleaned Data'!Z282,'Cleaned Data'!AA282)</f>
        <v>574</v>
      </c>
      <c r="AJ282" s="1">
        <f t="shared" si="24"/>
        <v>143.5</v>
      </c>
    </row>
    <row r="283" spans="1:36">
      <c r="A283" t="s">
        <v>6</v>
      </c>
      <c r="B283">
        <v>2020</v>
      </c>
      <c r="C283" t="s">
        <v>33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s="1">
        <f t="shared" si="20"/>
        <v>1949.1</v>
      </c>
      <c r="Q283">
        <v>164.7</v>
      </c>
      <c r="R283">
        <v>184.8</v>
      </c>
      <c r="S283" s="1">
        <f t="shared" si="21"/>
        <v>636.6</v>
      </c>
      <c r="T283">
        <v>154.30000000000001</v>
      </c>
      <c r="U283">
        <v>144.9</v>
      </c>
      <c r="V283" s="1">
        <f t="shared" si="22"/>
        <v>452.00000000000006</v>
      </c>
      <c r="W283">
        <v>152.80000000000001</v>
      </c>
      <c r="X283">
        <v>158</v>
      </c>
      <c r="Y283" s="1">
        <f t="shared" si="23"/>
        <v>307.2</v>
      </c>
      <c r="Z283">
        <v>143.6</v>
      </c>
      <c r="AA283">
        <v>149.19999999999999</v>
      </c>
      <c r="AB283">
        <v>157.19999999999999</v>
      </c>
      <c r="AC283">
        <v>140.4</v>
      </c>
      <c r="AD283">
        <v>148.4</v>
      </c>
      <c r="AE283">
        <v>158.6</v>
      </c>
      <c r="AF283">
        <v>156.9</v>
      </c>
      <c r="AG283">
        <v>150.69999999999999</v>
      </c>
      <c r="AH283">
        <v>158.4</v>
      </c>
      <c r="AI283">
        <f>SUM('Cleaned Data'!AC283,'Cleaned Data'!AE283,'Cleaned Data'!Z283,'Cleaned Data'!AA283)</f>
        <v>591.79999999999995</v>
      </c>
      <c r="AJ283" s="1">
        <f t="shared" si="24"/>
        <v>147.94999999999999</v>
      </c>
    </row>
    <row r="284" spans="1:36">
      <c r="A284" t="s">
        <v>93</v>
      </c>
      <c r="B284">
        <v>2020</v>
      </c>
      <c r="C284" t="s">
        <v>35</v>
      </c>
      <c r="D284">
        <v>144.6</v>
      </c>
      <c r="E284">
        <v>188.5</v>
      </c>
      <c r="F284">
        <v>173.4</v>
      </c>
      <c r="G284">
        <v>154</v>
      </c>
      <c r="H284">
        <v>150</v>
      </c>
      <c r="I284">
        <v>145.9</v>
      </c>
      <c r="J284">
        <v>225.2</v>
      </c>
      <c r="K284">
        <v>159.5</v>
      </c>
      <c r="L284">
        <v>114.4</v>
      </c>
      <c r="M284">
        <v>163.5</v>
      </c>
      <c r="N284">
        <v>153.4</v>
      </c>
      <c r="O284">
        <v>163.6</v>
      </c>
      <c r="P284" s="1">
        <f t="shared" si="20"/>
        <v>1947.1</v>
      </c>
      <c r="Q284">
        <v>164.5</v>
      </c>
      <c r="R284">
        <v>183.6</v>
      </c>
      <c r="S284" s="1">
        <f t="shared" si="21"/>
        <v>647.5</v>
      </c>
      <c r="T284">
        <v>157</v>
      </c>
      <c r="U284">
        <v>151.6</v>
      </c>
      <c r="V284" s="1">
        <f t="shared" si="22"/>
        <v>464.90000000000003</v>
      </c>
      <c r="W284">
        <v>156.30000000000001</v>
      </c>
      <c r="X284">
        <v>158.4</v>
      </c>
      <c r="Y284" s="1">
        <f t="shared" si="23"/>
        <v>311.8</v>
      </c>
      <c r="Z284">
        <v>148.69999999999999</v>
      </c>
      <c r="AA284">
        <v>153.4</v>
      </c>
      <c r="AB284">
        <v>161.6</v>
      </c>
      <c r="AC284">
        <v>146.4</v>
      </c>
      <c r="AD284">
        <v>153.9</v>
      </c>
      <c r="AE284">
        <v>162.9</v>
      </c>
      <c r="AF284">
        <v>156.6</v>
      </c>
      <c r="AG284">
        <v>155.19999999999999</v>
      </c>
      <c r="AH284">
        <v>160.69999999999999</v>
      </c>
      <c r="AI284">
        <f>SUM('Cleaned Data'!AC284,'Cleaned Data'!AE284,'Cleaned Data'!Z284,'Cleaned Data'!AA284)</f>
        <v>611.4</v>
      </c>
      <c r="AJ284" s="1">
        <f t="shared" si="24"/>
        <v>152.85000000000002</v>
      </c>
    </row>
    <row r="285" spans="1:36">
      <c r="A285" t="s">
        <v>94</v>
      </c>
      <c r="B285">
        <v>2020</v>
      </c>
      <c r="C285" t="s">
        <v>35</v>
      </c>
      <c r="D285">
        <v>149</v>
      </c>
      <c r="E285">
        <v>195.7</v>
      </c>
      <c r="F285">
        <v>178.3</v>
      </c>
      <c r="G285">
        <v>154.19999999999999</v>
      </c>
      <c r="H285">
        <v>140.69999999999999</v>
      </c>
      <c r="I285">
        <v>149.69999999999999</v>
      </c>
      <c r="J285">
        <v>240.9</v>
      </c>
      <c r="K285">
        <v>161.5</v>
      </c>
      <c r="L285">
        <v>117.1</v>
      </c>
      <c r="M285">
        <v>161.9</v>
      </c>
      <c r="N285">
        <v>143.30000000000001</v>
      </c>
      <c r="O285">
        <v>166.1</v>
      </c>
      <c r="P285" s="1">
        <f t="shared" si="20"/>
        <v>1982.1000000000001</v>
      </c>
      <c r="Q285">
        <v>167</v>
      </c>
      <c r="R285">
        <v>190.2</v>
      </c>
      <c r="S285" s="1">
        <f t="shared" si="21"/>
        <v>635.70000000000005</v>
      </c>
      <c r="T285">
        <v>151.9</v>
      </c>
      <c r="U285">
        <v>136.69999999999999</v>
      </c>
      <c r="V285" s="1">
        <f t="shared" si="22"/>
        <v>438.20000000000005</v>
      </c>
      <c r="W285">
        <v>149.6</v>
      </c>
      <c r="X285">
        <v>158.4</v>
      </c>
      <c r="Y285" s="1">
        <f t="shared" si="23"/>
        <v>303.89999999999998</v>
      </c>
      <c r="Z285">
        <v>137.9</v>
      </c>
      <c r="AA285">
        <v>145.5</v>
      </c>
      <c r="AB285">
        <v>152.9</v>
      </c>
      <c r="AC285">
        <v>135.5</v>
      </c>
      <c r="AD285">
        <v>144.30000000000001</v>
      </c>
      <c r="AE285">
        <v>156.9</v>
      </c>
      <c r="AF285">
        <v>157.9</v>
      </c>
      <c r="AG285">
        <v>146.9</v>
      </c>
      <c r="AH285">
        <v>156.9</v>
      </c>
      <c r="AI285">
        <f>SUM('Cleaned Data'!AC285,'Cleaned Data'!AE285,'Cleaned Data'!Z285,'Cleaned Data'!AA285)</f>
        <v>575.79999999999995</v>
      </c>
      <c r="AJ285" s="1">
        <f t="shared" si="24"/>
        <v>143.94999999999999</v>
      </c>
    </row>
    <row r="286" spans="1:36">
      <c r="A286" t="s">
        <v>6</v>
      </c>
      <c r="B286">
        <v>2020</v>
      </c>
      <c r="C286" t="s">
        <v>35</v>
      </c>
      <c r="D286">
        <v>146</v>
      </c>
      <c r="E286">
        <v>191</v>
      </c>
      <c r="F286">
        <v>175.3</v>
      </c>
      <c r="G286">
        <v>154.1</v>
      </c>
      <c r="H286">
        <v>146.6</v>
      </c>
      <c r="I286">
        <v>147.69999999999999</v>
      </c>
      <c r="J286">
        <v>230.5</v>
      </c>
      <c r="K286">
        <v>160.19999999999999</v>
      </c>
      <c r="L286">
        <v>115.3</v>
      </c>
      <c r="M286">
        <v>163</v>
      </c>
      <c r="N286">
        <v>149.19999999999999</v>
      </c>
      <c r="O286">
        <v>164.8</v>
      </c>
      <c r="P286" s="1">
        <f t="shared" si="20"/>
        <v>1959.8999999999999</v>
      </c>
      <c r="Q286">
        <v>165.4</v>
      </c>
      <c r="R286">
        <v>185.4</v>
      </c>
      <c r="S286" s="1">
        <f t="shared" si="21"/>
        <v>640.20000000000005</v>
      </c>
      <c r="T286">
        <v>155</v>
      </c>
      <c r="U286">
        <v>145.4</v>
      </c>
      <c r="V286" s="1">
        <f t="shared" si="22"/>
        <v>454</v>
      </c>
      <c r="W286">
        <v>153.6</v>
      </c>
      <c r="X286">
        <v>158.4</v>
      </c>
      <c r="Y286" s="1">
        <f t="shared" si="23"/>
        <v>308.10000000000002</v>
      </c>
      <c r="Z286">
        <v>144.6</v>
      </c>
      <c r="AA286">
        <v>149.69999999999999</v>
      </c>
      <c r="AB286">
        <v>158.30000000000001</v>
      </c>
      <c r="AC286">
        <v>140.69999999999999</v>
      </c>
      <c r="AD286">
        <v>148.5</v>
      </c>
      <c r="AE286">
        <v>159.4</v>
      </c>
      <c r="AF286">
        <v>157.1</v>
      </c>
      <c r="AG286">
        <v>151.19999999999999</v>
      </c>
      <c r="AH286">
        <v>158.9</v>
      </c>
      <c r="AI286">
        <f>SUM('Cleaned Data'!AC286,'Cleaned Data'!AE286,'Cleaned Data'!Z286,'Cleaned Data'!AA286)</f>
        <v>594.40000000000009</v>
      </c>
      <c r="AJ286" s="1">
        <f t="shared" si="24"/>
        <v>148.6</v>
      </c>
    </row>
    <row r="287" spans="1:36">
      <c r="A287" t="s">
        <v>93</v>
      </c>
      <c r="B287">
        <v>2021</v>
      </c>
      <c r="C287" t="s">
        <v>11</v>
      </c>
      <c r="D287">
        <v>143.4</v>
      </c>
      <c r="E287">
        <v>187.5</v>
      </c>
      <c r="F287">
        <v>173.4</v>
      </c>
      <c r="G287">
        <v>154</v>
      </c>
      <c r="H287">
        <v>154.80000000000001</v>
      </c>
      <c r="I287">
        <v>147</v>
      </c>
      <c r="J287">
        <v>187.8</v>
      </c>
      <c r="K287">
        <v>159.5</v>
      </c>
      <c r="L287">
        <v>113.8</v>
      </c>
      <c r="M287">
        <v>164.5</v>
      </c>
      <c r="N287">
        <v>156.1</v>
      </c>
      <c r="O287">
        <v>164.3</v>
      </c>
      <c r="P287" s="1">
        <f t="shared" si="20"/>
        <v>1909.6000000000001</v>
      </c>
      <c r="Q287">
        <v>159.6</v>
      </c>
      <c r="R287">
        <v>184.6</v>
      </c>
      <c r="S287" s="1">
        <f t="shared" si="21"/>
        <v>652</v>
      </c>
      <c r="T287">
        <v>157.5</v>
      </c>
      <c r="U287">
        <v>152.4</v>
      </c>
      <c r="V287" s="1">
        <f t="shared" si="22"/>
        <v>466.7</v>
      </c>
      <c r="W287">
        <v>156.80000000000001</v>
      </c>
      <c r="X287">
        <v>157.69999999999999</v>
      </c>
      <c r="Y287" s="1">
        <f t="shared" si="23"/>
        <v>311.60000000000002</v>
      </c>
      <c r="Z287">
        <v>150.9</v>
      </c>
      <c r="AA287">
        <v>153.9</v>
      </c>
      <c r="AB287">
        <v>162.5</v>
      </c>
      <c r="AC287">
        <v>147.5</v>
      </c>
      <c r="AD287">
        <v>155.1</v>
      </c>
      <c r="AE287">
        <v>163.5</v>
      </c>
      <c r="AF287">
        <v>156.19999999999999</v>
      </c>
      <c r="AG287">
        <v>155.9</v>
      </c>
      <c r="AH287">
        <v>158.5</v>
      </c>
      <c r="AI287">
        <f>SUM('Cleaned Data'!AC287,'Cleaned Data'!AE287,'Cleaned Data'!Z287,'Cleaned Data'!AA287)</f>
        <v>615.79999999999995</v>
      </c>
      <c r="AJ287" s="1">
        <f t="shared" si="24"/>
        <v>153.94999999999999</v>
      </c>
    </row>
    <row r="288" spans="1:36">
      <c r="A288" t="s">
        <v>94</v>
      </c>
      <c r="B288">
        <v>2021</v>
      </c>
      <c r="C288" t="s">
        <v>11</v>
      </c>
      <c r="D288">
        <v>148</v>
      </c>
      <c r="E288">
        <v>194.8</v>
      </c>
      <c r="F288">
        <v>178.4</v>
      </c>
      <c r="G288">
        <v>154.4</v>
      </c>
      <c r="H288">
        <v>144.1</v>
      </c>
      <c r="I288">
        <v>152.6</v>
      </c>
      <c r="J288">
        <v>206.8</v>
      </c>
      <c r="K288">
        <v>162.1</v>
      </c>
      <c r="L288">
        <v>116.3</v>
      </c>
      <c r="M288">
        <v>163</v>
      </c>
      <c r="N288">
        <v>145.9</v>
      </c>
      <c r="O288">
        <v>167.2</v>
      </c>
      <c r="P288" s="1">
        <f t="shared" si="20"/>
        <v>1951.1000000000004</v>
      </c>
      <c r="Q288">
        <v>163.4</v>
      </c>
      <c r="R288">
        <v>191.8</v>
      </c>
      <c r="S288" s="1">
        <f t="shared" si="21"/>
        <v>640.79999999999995</v>
      </c>
      <c r="T288">
        <v>152.5</v>
      </c>
      <c r="U288">
        <v>137.30000000000001</v>
      </c>
      <c r="V288" s="1">
        <f t="shared" si="22"/>
        <v>440</v>
      </c>
      <c r="W288">
        <v>150.19999999999999</v>
      </c>
      <c r="X288">
        <v>157.69999999999999</v>
      </c>
      <c r="Y288" s="1">
        <f t="shared" si="23"/>
        <v>303.39999999999998</v>
      </c>
      <c r="Z288">
        <v>142.9</v>
      </c>
      <c r="AA288">
        <v>145.69999999999999</v>
      </c>
      <c r="AB288">
        <v>154.1</v>
      </c>
      <c r="AC288">
        <v>136.9</v>
      </c>
      <c r="AD288">
        <v>145.4</v>
      </c>
      <c r="AE288">
        <v>156.1</v>
      </c>
      <c r="AF288">
        <v>157.69999999999999</v>
      </c>
      <c r="AG288">
        <v>147.6</v>
      </c>
      <c r="AH288">
        <v>156</v>
      </c>
      <c r="AI288">
        <f>SUM('Cleaned Data'!AC288,'Cleaned Data'!AE288,'Cleaned Data'!Z288,'Cleaned Data'!AA288)</f>
        <v>581.59999999999991</v>
      </c>
      <c r="AJ288" s="1">
        <f t="shared" si="24"/>
        <v>145.4</v>
      </c>
    </row>
    <row r="289" spans="1:36">
      <c r="A289" t="s">
        <v>6</v>
      </c>
      <c r="B289">
        <v>2021</v>
      </c>
      <c r="C289" t="s">
        <v>11</v>
      </c>
      <c r="D289">
        <v>144.9</v>
      </c>
      <c r="E289">
        <v>190.1</v>
      </c>
      <c r="F289">
        <v>175.3</v>
      </c>
      <c r="G289">
        <v>154.1</v>
      </c>
      <c r="H289">
        <v>150.9</v>
      </c>
      <c r="I289">
        <v>149.6</v>
      </c>
      <c r="J289">
        <v>194.2</v>
      </c>
      <c r="K289">
        <v>160.4</v>
      </c>
      <c r="L289">
        <v>114.6</v>
      </c>
      <c r="M289">
        <v>164</v>
      </c>
      <c r="N289">
        <v>151.80000000000001</v>
      </c>
      <c r="O289">
        <v>165.6</v>
      </c>
      <c r="P289" s="1">
        <f t="shared" si="20"/>
        <v>1924.6999999999998</v>
      </c>
      <c r="Q289">
        <v>161</v>
      </c>
      <c r="R289">
        <v>186.5</v>
      </c>
      <c r="S289" s="1">
        <f t="shared" si="21"/>
        <v>644.70000000000005</v>
      </c>
      <c r="T289">
        <v>155.5</v>
      </c>
      <c r="U289">
        <v>146.1</v>
      </c>
      <c r="V289" s="1">
        <f t="shared" si="22"/>
        <v>455.8</v>
      </c>
      <c r="W289">
        <v>154.19999999999999</v>
      </c>
      <c r="X289">
        <v>157.69999999999999</v>
      </c>
      <c r="Y289" s="1">
        <f t="shared" si="23"/>
        <v>307.7</v>
      </c>
      <c r="Z289">
        <v>147.9</v>
      </c>
      <c r="AA289">
        <v>150</v>
      </c>
      <c r="AB289">
        <v>159.30000000000001</v>
      </c>
      <c r="AC289">
        <v>141.9</v>
      </c>
      <c r="AD289">
        <v>149.6</v>
      </c>
      <c r="AE289">
        <v>159.19999999999999</v>
      </c>
      <c r="AF289">
        <v>156.80000000000001</v>
      </c>
      <c r="AG289">
        <v>151.9</v>
      </c>
      <c r="AH289">
        <v>157.30000000000001</v>
      </c>
      <c r="AI289">
        <f>SUM('Cleaned Data'!AC289,'Cleaned Data'!AE289,'Cleaned Data'!Z289,'Cleaned Data'!AA289)</f>
        <v>599</v>
      </c>
      <c r="AJ289" s="1">
        <f t="shared" si="24"/>
        <v>149.75</v>
      </c>
    </row>
    <row r="290" spans="1:36">
      <c r="A290" t="s">
        <v>93</v>
      </c>
      <c r="B290">
        <v>2021</v>
      </c>
      <c r="C290" t="s">
        <v>14</v>
      </c>
      <c r="D290">
        <v>142.80000000000001</v>
      </c>
      <c r="E290">
        <v>184</v>
      </c>
      <c r="F290">
        <v>168</v>
      </c>
      <c r="G290">
        <v>154.4</v>
      </c>
      <c r="H290">
        <v>163</v>
      </c>
      <c r="I290">
        <v>147.80000000000001</v>
      </c>
      <c r="J290">
        <v>149.69999999999999</v>
      </c>
      <c r="K290">
        <v>158.30000000000001</v>
      </c>
      <c r="L290">
        <v>111.8</v>
      </c>
      <c r="M290">
        <v>165</v>
      </c>
      <c r="N290">
        <v>160</v>
      </c>
      <c r="O290">
        <v>165.8</v>
      </c>
      <c r="P290" s="1">
        <f t="shared" si="20"/>
        <v>1865.3000000000002</v>
      </c>
      <c r="Q290">
        <v>154.69999999999999</v>
      </c>
      <c r="R290">
        <v>186.5</v>
      </c>
      <c r="S290" s="1">
        <f t="shared" si="21"/>
        <v>658.7</v>
      </c>
      <c r="T290">
        <v>159.1</v>
      </c>
      <c r="U290">
        <v>153.9</v>
      </c>
      <c r="V290" s="1">
        <f t="shared" si="22"/>
        <v>471.4</v>
      </c>
      <c r="W290">
        <v>158.4</v>
      </c>
      <c r="X290">
        <v>159.80000000000001</v>
      </c>
      <c r="Y290" s="1">
        <f t="shared" si="23"/>
        <v>314.60000000000002</v>
      </c>
      <c r="Z290">
        <v>154.4</v>
      </c>
      <c r="AA290">
        <v>154.80000000000001</v>
      </c>
      <c r="AB290">
        <v>164.3</v>
      </c>
      <c r="AC290">
        <v>150.19999999999999</v>
      </c>
      <c r="AD290">
        <v>157</v>
      </c>
      <c r="AE290">
        <v>163.6</v>
      </c>
      <c r="AF290">
        <v>155.19999999999999</v>
      </c>
      <c r="AG290">
        <v>157.19999999999999</v>
      </c>
      <c r="AH290">
        <v>156.69999999999999</v>
      </c>
      <c r="AI290">
        <f>SUM('Cleaned Data'!AC290,'Cleaned Data'!AE290,'Cleaned Data'!Z290,'Cleaned Data'!AA290)</f>
        <v>623</v>
      </c>
      <c r="AJ290" s="1">
        <f t="shared" si="24"/>
        <v>155.75</v>
      </c>
    </row>
    <row r="291" spans="1:36">
      <c r="A291" t="s">
        <v>94</v>
      </c>
      <c r="B291">
        <v>2021</v>
      </c>
      <c r="C291" t="s">
        <v>14</v>
      </c>
      <c r="D291">
        <v>147.6</v>
      </c>
      <c r="E291">
        <v>191.2</v>
      </c>
      <c r="F291">
        <v>169.9</v>
      </c>
      <c r="G291">
        <v>155.1</v>
      </c>
      <c r="H291">
        <v>151.4</v>
      </c>
      <c r="I291">
        <v>154</v>
      </c>
      <c r="J291">
        <v>180.2</v>
      </c>
      <c r="K291">
        <v>159.80000000000001</v>
      </c>
      <c r="L291">
        <v>114.9</v>
      </c>
      <c r="M291">
        <v>162.5</v>
      </c>
      <c r="N291">
        <v>149.19999999999999</v>
      </c>
      <c r="O291">
        <v>169.4</v>
      </c>
      <c r="P291" s="1">
        <f t="shared" si="20"/>
        <v>1916.8</v>
      </c>
      <c r="Q291">
        <v>160.80000000000001</v>
      </c>
      <c r="R291">
        <v>193.3</v>
      </c>
      <c r="S291" s="1">
        <f t="shared" si="21"/>
        <v>646.5</v>
      </c>
      <c r="T291">
        <v>154.19999999999999</v>
      </c>
      <c r="U291">
        <v>138.19999999999999</v>
      </c>
      <c r="V291" s="1">
        <f t="shared" si="22"/>
        <v>444.2</v>
      </c>
      <c r="W291">
        <v>151.80000000000001</v>
      </c>
      <c r="X291">
        <v>159.80000000000001</v>
      </c>
      <c r="Y291" s="1">
        <f t="shared" si="23"/>
        <v>306.3</v>
      </c>
      <c r="Z291">
        <v>149.1</v>
      </c>
      <c r="AA291">
        <v>146.5</v>
      </c>
      <c r="AB291">
        <v>156.30000000000001</v>
      </c>
      <c r="AC291">
        <v>140.5</v>
      </c>
      <c r="AD291">
        <v>147.30000000000001</v>
      </c>
      <c r="AE291">
        <v>156.6</v>
      </c>
      <c r="AF291">
        <v>156.69999999999999</v>
      </c>
      <c r="AG291">
        <v>149.30000000000001</v>
      </c>
      <c r="AH291">
        <v>156.5</v>
      </c>
      <c r="AI291">
        <f>SUM('Cleaned Data'!AC291,'Cleaned Data'!AE291,'Cleaned Data'!Z291,'Cleaned Data'!AA291)</f>
        <v>592.70000000000005</v>
      </c>
      <c r="AJ291" s="1">
        <f t="shared" si="24"/>
        <v>148.17500000000001</v>
      </c>
    </row>
    <row r="292" spans="1:36">
      <c r="A292" t="s">
        <v>6</v>
      </c>
      <c r="B292">
        <v>2021</v>
      </c>
      <c r="C292" t="s">
        <v>14</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s="1">
        <f t="shared" si="20"/>
        <v>1883.8000000000002</v>
      </c>
      <c r="Q292">
        <v>156.9</v>
      </c>
      <c r="R292">
        <v>188.3</v>
      </c>
      <c r="S292" s="1">
        <f t="shared" si="21"/>
        <v>651.1</v>
      </c>
      <c r="T292">
        <v>157.19999999999999</v>
      </c>
      <c r="U292">
        <v>147.4</v>
      </c>
      <c r="V292" s="1">
        <f t="shared" si="22"/>
        <v>460.40000000000003</v>
      </c>
      <c r="W292">
        <v>155.80000000000001</v>
      </c>
      <c r="X292">
        <v>159.80000000000001</v>
      </c>
      <c r="Y292" s="1">
        <f t="shared" si="23"/>
        <v>310.70000000000005</v>
      </c>
      <c r="Z292">
        <v>152.4</v>
      </c>
      <c r="AA292">
        <v>150.9</v>
      </c>
      <c r="AB292">
        <v>161.30000000000001</v>
      </c>
      <c r="AC292">
        <v>145.1</v>
      </c>
      <c r="AD292">
        <v>151.5</v>
      </c>
      <c r="AE292">
        <v>159.5</v>
      </c>
      <c r="AF292">
        <v>155.80000000000001</v>
      </c>
      <c r="AG292">
        <v>153.4</v>
      </c>
      <c r="AH292">
        <v>156.6</v>
      </c>
      <c r="AI292">
        <f>SUM('Cleaned Data'!AC292,'Cleaned Data'!AE292,'Cleaned Data'!Z292,'Cleaned Data'!AA292)</f>
        <v>607.9</v>
      </c>
      <c r="AJ292" s="1">
        <f t="shared" si="24"/>
        <v>151.97499999999999</v>
      </c>
    </row>
    <row r="293" spans="1:36">
      <c r="A293" t="s">
        <v>93</v>
      </c>
      <c r="B293">
        <v>2021</v>
      </c>
      <c r="C293" t="s">
        <v>17</v>
      </c>
      <c r="D293">
        <v>142.5</v>
      </c>
      <c r="E293">
        <v>189.4</v>
      </c>
      <c r="F293">
        <v>163.19999999999999</v>
      </c>
      <c r="G293">
        <v>154.5</v>
      </c>
      <c r="H293">
        <v>168.2</v>
      </c>
      <c r="I293">
        <v>150.5</v>
      </c>
      <c r="J293">
        <v>141</v>
      </c>
      <c r="K293">
        <v>159.19999999999999</v>
      </c>
      <c r="L293">
        <v>111.7</v>
      </c>
      <c r="M293">
        <v>164</v>
      </c>
      <c r="N293">
        <v>160.6</v>
      </c>
      <c r="O293">
        <v>166.4</v>
      </c>
      <c r="P293" s="1">
        <f t="shared" si="20"/>
        <v>1865.1000000000001</v>
      </c>
      <c r="Q293">
        <v>154.5</v>
      </c>
      <c r="R293">
        <v>186.1</v>
      </c>
      <c r="S293" s="1">
        <f t="shared" si="21"/>
        <v>657.6</v>
      </c>
      <c r="T293">
        <v>159.6</v>
      </c>
      <c r="U293">
        <v>154.4</v>
      </c>
      <c r="V293" s="1">
        <f t="shared" si="22"/>
        <v>472.9</v>
      </c>
      <c r="W293">
        <v>158.9</v>
      </c>
      <c r="X293">
        <v>159.9</v>
      </c>
      <c r="Y293" s="1">
        <f t="shared" si="23"/>
        <v>314.70000000000005</v>
      </c>
      <c r="Z293">
        <v>156</v>
      </c>
      <c r="AA293">
        <v>154.80000000000001</v>
      </c>
      <c r="AB293">
        <v>164.6</v>
      </c>
      <c r="AC293">
        <v>151.30000000000001</v>
      </c>
      <c r="AD293">
        <v>157.80000000000001</v>
      </c>
      <c r="AE293">
        <v>163.80000000000001</v>
      </c>
      <c r="AF293">
        <v>153.1</v>
      </c>
      <c r="AG293">
        <v>157.30000000000001</v>
      </c>
      <c r="AH293">
        <v>156.69999999999999</v>
      </c>
      <c r="AI293">
        <f>SUM('Cleaned Data'!AC293,'Cleaned Data'!AE293,'Cleaned Data'!Z293,'Cleaned Data'!AA293)</f>
        <v>625.90000000000009</v>
      </c>
      <c r="AJ293" s="1">
        <f t="shared" si="24"/>
        <v>156.47500000000002</v>
      </c>
    </row>
    <row r="294" spans="1:36">
      <c r="A294" t="s">
        <v>94</v>
      </c>
      <c r="B294">
        <v>2021</v>
      </c>
      <c r="C294" t="s">
        <v>17</v>
      </c>
      <c r="D294">
        <v>147.5</v>
      </c>
      <c r="E294">
        <v>197.5</v>
      </c>
      <c r="F294">
        <v>164.7</v>
      </c>
      <c r="G294">
        <v>155.6</v>
      </c>
      <c r="H294">
        <v>156.4</v>
      </c>
      <c r="I294">
        <v>157.30000000000001</v>
      </c>
      <c r="J294">
        <v>166.1</v>
      </c>
      <c r="K294">
        <v>161.1</v>
      </c>
      <c r="L294">
        <v>114.3</v>
      </c>
      <c r="M294">
        <v>162.6</v>
      </c>
      <c r="N294">
        <v>150.69999999999999</v>
      </c>
      <c r="O294">
        <v>170.3</v>
      </c>
      <c r="P294" s="1">
        <f t="shared" si="20"/>
        <v>1913.8000000000002</v>
      </c>
      <c r="Q294">
        <v>160.4</v>
      </c>
      <c r="R294">
        <v>193.5</v>
      </c>
      <c r="S294" s="1">
        <f t="shared" si="21"/>
        <v>647.69999999999993</v>
      </c>
      <c r="T294">
        <v>155.1</v>
      </c>
      <c r="U294">
        <v>138.69999999999999</v>
      </c>
      <c r="V294" s="1">
        <f t="shared" si="22"/>
        <v>446.4</v>
      </c>
      <c r="W294">
        <v>152.6</v>
      </c>
      <c r="X294">
        <v>159.9</v>
      </c>
      <c r="Y294" s="1">
        <f t="shared" si="23"/>
        <v>307.10000000000002</v>
      </c>
      <c r="Z294">
        <v>154.80000000000001</v>
      </c>
      <c r="AA294">
        <v>147.19999999999999</v>
      </c>
      <c r="AB294">
        <v>156.9</v>
      </c>
      <c r="AC294">
        <v>141.69999999999999</v>
      </c>
      <c r="AD294">
        <v>148.6</v>
      </c>
      <c r="AE294">
        <v>157.6</v>
      </c>
      <c r="AF294">
        <v>154.9</v>
      </c>
      <c r="AG294">
        <v>150</v>
      </c>
      <c r="AH294">
        <v>156.9</v>
      </c>
      <c r="AI294">
        <f>SUM('Cleaned Data'!AC294,'Cleaned Data'!AE294,'Cleaned Data'!Z294,'Cleaned Data'!AA294)</f>
        <v>601.29999999999995</v>
      </c>
      <c r="AJ294" s="1">
        <f t="shared" si="24"/>
        <v>150.32499999999999</v>
      </c>
    </row>
    <row r="295" spans="1:36">
      <c r="A295" t="s">
        <v>6</v>
      </c>
      <c r="B295">
        <v>2021</v>
      </c>
      <c r="C295" t="s">
        <v>17</v>
      </c>
      <c r="D295">
        <v>144.1</v>
      </c>
      <c r="E295">
        <v>192.2</v>
      </c>
      <c r="F295">
        <v>163.80000000000001</v>
      </c>
      <c r="G295">
        <v>154.9</v>
      </c>
      <c r="H295">
        <v>163.9</v>
      </c>
      <c r="I295">
        <v>153.69999999999999</v>
      </c>
      <c r="J295">
        <v>149.5</v>
      </c>
      <c r="K295">
        <v>159.80000000000001</v>
      </c>
      <c r="L295">
        <v>112.6</v>
      </c>
      <c r="M295">
        <v>163.5</v>
      </c>
      <c r="N295">
        <v>156.5</v>
      </c>
      <c r="O295">
        <v>168.2</v>
      </c>
      <c r="P295" s="1">
        <f t="shared" si="20"/>
        <v>1882.9</v>
      </c>
      <c r="Q295">
        <v>156.69999999999999</v>
      </c>
      <c r="R295">
        <v>188.1</v>
      </c>
      <c r="S295" s="1">
        <f t="shared" si="21"/>
        <v>651</v>
      </c>
      <c r="T295">
        <v>157.80000000000001</v>
      </c>
      <c r="U295">
        <v>147.9</v>
      </c>
      <c r="V295" s="1">
        <f t="shared" si="22"/>
        <v>462.1</v>
      </c>
      <c r="W295">
        <v>156.4</v>
      </c>
      <c r="X295">
        <v>159.9</v>
      </c>
      <c r="Y295" s="1">
        <f t="shared" si="23"/>
        <v>311.10000000000002</v>
      </c>
      <c r="Z295">
        <v>155.5</v>
      </c>
      <c r="AA295">
        <v>151.19999999999999</v>
      </c>
      <c r="AB295">
        <v>161.69999999999999</v>
      </c>
      <c r="AC295">
        <v>146.19999999999999</v>
      </c>
      <c r="AD295">
        <v>152.6</v>
      </c>
      <c r="AE295">
        <v>160.19999999999999</v>
      </c>
      <c r="AF295">
        <v>153.80000000000001</v>
      </c>
      <c r="AG295">
        <v>153.80000000000001</v>
      </c>
      <c r="AH295">
        <v>156.80000000000001</v>
      </c>
      <c r="AI295">
        <f>SUM('Cleaned Data'!AC295,'Cleaned Data'!AE295,'Cleaned Data'!Z295,'Cleaned Data'!AA295)</f>
        <v>613.09999999999991</v>
      </c>
      <c r="AJ295" s="1">
        <f t="shared" si="24"/>
        <v>153.27499999999998</v>
      </c>
    </row>
    <row r="296" spans="1:36">
      <c r="A296" t="s">
        <v>93</v>
      </c>
      <c r="B296">
        <v>2021</v>
      </c>
      <c r="C296" t="s">
        <v>19</v>
      </c>
      <c r="D296">
        <v>142.69999999999999</v>
      </c>
      <c r="E296">
        <v>195.5</v>
      </c>
      <c r="F296">
        <v>163.4</v>
      </c>
      <c r="G296">
        <v>155</v>
      </c>
      <c r="H296">
        <v>175.2</v>
      </c>
      <c r="I296">
        <v>160.6</v>
      </c>
      <c r="J296">
        <v>135.1</v>
      </c>
      <c r="K296">
        <v>161.1</v>
      </c>
      <c r="L296">
        <v>112.2</v>
      </c>
      <c r="M296">
        <v>164.4</v>
      </c>
      <c r="N296">
        <v>161.9</v>
      </c>
      <c r="O296">
        <v>166.8</v>
      </c>
      <c r="P296" s="1">
        <f t="shared" si="20"/>
        <v>1887.6000000000001</v>
      </c>
      <c r="Q296">
        <v>155.6</v>
      </c>
      <c r="R296">
        <v>186.8</v>
      </c>
      <c r="S296" s="1">
        <f t="shared" si="21"/>
        <v>661.90000000000009</v>
      </c>
      <c r="T296">
        <v>160.69999999999999</v>
      </c>
      <c r="U296">
        <v>155.1</v>
      </c>
      <c r="V296" s="1">
        <f t="shared" si="22"/>
        <v>475.69999999999993</v>
      </c>
      <c r="W296">
        <v>159.9</v>
      </c>
      <c r="X296">
        <v>161.4</v>
      </c>
      <c r="Y296" s="1">
        <f t="shared" si="23"/>
        <v>316.89999999999998</v>
      </c>
      <c r="Z296">
        <v>156</v>
      </c>
      <c r="AA296">
        <v>155.5</v>
      </c>
      <c r="AB296">
        <v>165.3</v>
      </c>
      <c r="AC296">
        <v>151.69999999999999</v>
      </c>
      <c r="AD296">
        <v>158.6</v>
      </c>
      <c r="AE296">
        <v>164.1</v>
      </c>
      <c r="AF296">
        <v>154.6</v>
      </c>
      <c r="AG296">
        <v>158</v>
      </c>
      <c r="AH296">
        <v>157.6</v>
      </c>
      <c r="AI296">
        <f>SUM('Cleaned Data'!AC296,'Cleaned Data'!AE296,'Cleaned Data'!Z296,'Cleaned Data'!AA296)</f>
        <v>627.29999999999995</v>
      </c>
      <c r="AJ296" s="1">
        <f t="shared" si="24"/>
        <v>156.82499999999999</v>
      </c>
    </row>
    <row r="297" spans="1:36">
      <c r="A297" t="s">
        <v>94</v>
      </c>
      <c r="B297">
        <v>2021</v>
      </c>
      <c r="C297" t="s">
        <v>19</v>
      </c>
      <c r="D297">
        <v>147.6</v>
      </c>
      <c r="E297">
        <v>202.5</v>
      </c>
      <c r="F297">
        <v>166.4</v>
      </c>
      <c r="G297">
        <v>156</v>
      </c>
      <c r="H297">
        <v>161.4</v>
      </c>
      <c r="I297">
        <v>168.8</v>
      </c>
      <c r="J297">
        <v>161.6</v>
      </c>
      <c r="K297">
        <v>162.80000000000001</v>
      </c>
      <c r="L297">
        <v>114.8</v>
      </c>
      <c r="M297">
        <v>162.80000000000001</v>
      </c>
      <c r="N297">
        <v>151.5</v>
      </c>
      <c r="O297">
        <v>171.4</v>
      </c>
      <c r="P297" s="1">
        <f t="shared" si="20"/>
        <v>1938.1000000000001</v>
      </c>
      <c r="Q297">
        <v>162</v>
      </c>
      <c r="R297">
        <v>194.4</v>
      </c>
      <c r="S297" s="1">
        <f t="shared" si="21"/>
        <v>651.6</v>
      </c>
      <c r="T297">
        <v>155.9</v>
      </c>
      <c r="U297">
        <v>139.30000000000001</v>
      </c>
      <c r="V297" s="1">
        <f t="shared" si="22"/>
        <v>448.6</v>
      </c>
      <c r="W297">
        <v>153.4</v>
      </c>
      <c r="X297">
        <v>161.4</v>
      </c>
      <c r="Y297" s="1">
        <f t="shared" si="23"/>
        <v>309</v>
      </c>
      <c r="Z297">
        <v>154.9</v>
      </c>
      <c r="AA297">
        <v>147.6</v>
      </c>
      <c r="AB297">
        <v>157.5</v>
      </c>
      <c r="AC297">
        <v>142.1</v>
      </c>
      <c r="AD297">
        <v>149.1</v>
      </c>
      <c r="AE297">
        <v>157.6</v>
      </c>
      <c r="AF297">
        <v>156.6</v>
      </c>
      <c r="AG297">
        <v>150.5</v>
      </c>
      <c r="AH297">
        <v>158</v>
      </c>
      <c r="AI297">
        <f>SUM('Cleaned Data'!AC297,'Cleaned Data'!AE297,'Cleaned Data'!Z297,'Cleaned Data'!AA297)</f>
        <v>602.20000000000005</v>
      </c>
      <c r="AJ297" s="1">
        <f t="shared" si="24"/>
        <v>150.54999999999998</v>
      </c>
    </row>
    <row r="298" spans="1:36">
      <c r="A298" t="s">
        <v>6</v>
      </c>
      <c r="B298">
        <v>2021</v>
      </c>
      <c r="C298" t="s">
        <v>19</v>
      </c>
      <c r="D298">
        <v>144.30000000000001</v>
      </c>
      <c r="E298">
        <v>198</v>
      </c>
      <c r="F298">
        <v>164.6</v>
      </c>
      <c r="G298">
        <v>155.4</v>
      </c>
      <c r="H298">
        <v>170.1</v>
      </c>
      <c r="I298">
        <v>164.4</v>
      </c>
      <c r="J298">
        <v>144.1</v>
      </c>
      <c r="K298">
        <v>161.69999999999999</v>
      </c>
      <c r="L298">
        <v>113.1</v>
      </c>
      <c r="M298">
        <v>163.9</v>
      </c>
      <c r="N298">
        <v>157.6</v>
      </c>
      <c r="O298">
        <v>168.9</v>
      </c>
      <c r="P298" s="1">
        <f t="shared" si="20"/>
        <v>1906.4999999999998</v>
      </c>
      <c r="Q298">
        <v>158</v>
      </c>
      <c r="R298">
        <v>188.8</v>
      </c>
      <c r="S298" s="1">
        <f t="shared" si="21"/>
        <v>655</v>
      </c>
      <c r="T298">
        <v>158.80000000000001</v>
      </c>
      <c r="U298">
        <v>148.5</v>
      </c>
      <c r="V298" s="1">
        <f t="shared" si="22"/>
        <v>464.6</v>
      </c>
      <c r="W298">
        <v>157.30000000000001</v>
      </c>
      <c r="X298">
        <v>161.4</v>
      </c>
      <c r="Y298" s="1">
        <f t="shared" si="23"/>
        <v>313.20000000000005</v>
      </c>
      <c r="Z298">
        <v>155.6</v>
      </c>
      <c r="AA298">
        <v>151.80000000000001</v>
      </c>
      <c r="AB298">
        <v>162.30000000000001</v>
      </c>
      <c r="AC298">
        <v>146.6</v>
      </c>
      <c r="AD298">
        <v>153.19999999999999</v>
      </c>
      <c r="AE298">
        <v>160.30000000000001</v>
      </c>
      <c r="AF298">
        <v>155.4</v>
      </c>
      <c r="AG298">
        <v>154.4</v>
      </c>
      <c r="AH298">
        <v>157.80000000000001</v>
      </c>
      <c r="AI298">
        <f>SUM('Cleaned Data'!AC298,'Cleaned Data'!AE298,'Cleaned Data'!Z298,'Cleaned Data'!AA298)</f>
        <v>614.29999999999995</v>
      </c>
      <c r="AJ298" s="1">
        <f t="shared" si="24"/>
        <v>153.57499999999999</v>
      </c>
    </row>
    <row r="299" spans="1:36">
      <c r="A299" t="s">
        <v>93</v>
      </c>
      <c r="B299">
        <v>2021</v>
      </c>
      <c r="C299" t="s">
        <v>21</v>
      </c>
      <c r="D299">
        <v>145.1</v>
      </c>
      <c r="E299">
        <v>198.5</v>
      </c>
      <c r="F299">
        <v>168.6</v>
      </c>
      <c r="G299">
        <v>155.80000000000001</v>
      </c>
      <c r="H299">
        <v>184.4</v>
      </c>
      <c r="I299">
        <v>162.30000000000001</v>
      </c>
      <c r="J299">
        <v>138.4</v>
      </c>
      <c r="K299">
        <v>165.1</v>
      </c>
      <c r="L299">
        <v>114.3</v>
      </c>
      <c r="M299">
        <v>169.7</v>
      </c>
      <c r="N299">
        <v>164.6</v>
      </c>
      <c r="O299">
        <v>169.8</v>
      </c>
      <c r="P299" s="1">
        <f t="shared" si="20"/>
        <v>1930.6999999999998</v>
      </c>
      <c r="Q299">
        <v>158.69999999999999</v>
      </c>
      <c r="R299">
        <v>189.6</v>
      </c>
      <c r="S299" s="1">
        <f t="shared" si="21"/>
        <v>673.5</v>
      </c>
      <c r="T299">
        <v>165.3</v>
      </c>
      <c r="U299">
        <v>160.6</v>
      </c>
      <c r="V299" s="1">
        <f t="shared" si="22"/>
        <v>490.4</v>
      </c>
      <c r="W299">
        <v>164.5</v>
      </c>
      <c r="X299">
        <v>161.6</v>
      </c>
      <c r="Y299" s="1">
        <f t="shared" si="23"/>
        <v>320.39999999999998</v>
      </c>
      <c r="Z299">
        <v>161.69999999999999</v>
      </c>
      <c r="AA299">
        <v>158.80000000000001</v>
      </c>
      <c r="AB299">
        <v>169.1</v>
      </c>
      <c r="AC299">
        <v>153.19999999999999</v>
      </c>
      <c r="AD299">
        <v>160</v>
      </c>
      <c r="AE299">
        <v>167.6</v>
      </c>
      <c r="AF299">
        <v>159.30000000000001</v>
      </c>
      <c r="AG299">
        <v>161.1</v>
      </c>
      <c r="AH299">
        <v>161.1</v>
      </c>
      <c r="AI299">
        <f>SUM('Cleaned Data'!AC299,'Cleaned Data'!AE299,'Cleaned Data'!Z299,'Cleaned Data'!AA299)</f>
        <v>641.29999999999995</v>
      </c>
      <c r="AJ299" s="1">
        <f t="shared" si="24"/>
        <v>160.32499999999999</v>
      </c>
    </row>
    <row r="300" spans="1:36">
      <c r="A300" t="s">
        <v>94</v>
      </c>
      <c r="B300">
        <v>2021</v>
      </c>
      <c r="C300" t="s">
        <v>21</v>
      </c>
      <c r="D300">
        <v>148.80000000000001</v>
      </c>
      <c r="E300">
        <v>204.3</v>
      </c>
      <c r="F300">
        <v>173</v>
      </c>
      <c r="G300">
        <v>156.5</v>
      </c>
      <c r="H300">
        <v>168.8</v>
      </c>
      <c r="I300">
        <v>172.5</v>
      </c>
      <c r="J300">
        <v>166.5</v>
      </c>
      <c r="K300">
        <v>165.9</v>
      </c>
      <c r="L300">
        <v>115.9</v>
      </c>
      <c r="M300">
        <v>165.2</v>
      </c>
      <c r="N300">
        <v>152</v>
      </c>
      <c r="O300">
        <v>171.1</v>
      </c>
      <c r="P300" s="1">
        <f t="shared" si="20"/>
        <v>1972.6999999999998</v>
      </c>
      <c r="Q300">
        <v>164.2</v>
      </c>
      <c r="R300">
        <v>198.2</v>
      </c>
      <c r="S300" s="1">
        <f t="shared" si="21"/>
        <v>660.3</v>
      </c>
      <c r="T300">
        <v>156.5</v>
      </c>
      <c r="U300">
        <v>140.19999999999999</v>
      </c>
      <c r="V300" s="1">
        <f t="shared" si="22"/>
        <v>450.79999999999995</v>
      </c>
      <c r="W300">
        <v>154.1</v>
      </c>
      <c r="X300">
        <v>161.6</v>
      </c>
      <c r="Y300" s="1">
        <f t="shared" si="23"/>
        <v>311.7</v>
      </c>
      <c r="Z300">
        <v>155.5</v>
      </c>
      <c r="AA300">
        <v>150.1</v>
      </c>
      <c r="AB300">
        <v>160.4</v>
      </c>
      <c r="AC300">
        <v>145</v>
      </c>
      <c r="AD300">
        <v>152.6</v>
      </c>
      <c r="AE300">
        <v>156.6</v>
      </c>
      <c r="AF300">
        <v>157.5</v>
      </c>
      <c r="AG300">
        <v>152.30000000000001</v>
      </c>
      <c r="AH300">
        <v>159.5</v>
      </c>
      <c r="AI300">
        <f>SUM('Cleaned Data'!AC300,'Cleaned Data'!AE300,'Cleaned Data'!Z300,'Cleaned Data'!AA300)</f>
        <v>607.20000000000005</v>
      </c>
      <c r="AJ300" s="1">
        <f t="shared" si="24"/>
        <v>151.80000000000001</v>
      </c>
    </row>
    <row r="301" spans="1:36">
      <c r="A301" t="s">
        <v>6</v>
      </c>
      <c r="B301">
        <v>2021</v>
      </c>
      <c r="C301" t="s">
        <v>21</v>
      </c>
      <c r="D301">
        <v>146.30000000000001</v>
      </c>
      <c r="E301">
        <v>200.5</v>
      </c>
      <c r="F301">
        <v>170.3</v>
      </c>
      <c r="G301">
        <v>156.1</v>
      </c>
      <c r="H301">
        <v>178.7</v>
      </c>
      <c r="I301">
        <v>167.1</v>
      </c>
      <c r="J301">
        <v>147.9</v>
      </c>
      <c r="K301">
        <v>165.4</v>
      </c>
      <c r="L301">
        <v>114.8</v>
      </c>
      <c r="M301">
        <v>168.2</v>
      </c>
      <c r="N301">
        <v>159.30000000000001</v>
      </c>
      <c r="O301">
        <v>170.4</v>
      </c>
      <c r="P301" s="1">
        <f t="shared" si="20"/>
        <v>1946.3999999999999</v>
      </c>
      <c r="Q301">
        <v>160.69999999999999</v>
      </c>
      <c r="R301">
        <v>191.9</v>
      </c>
      <c r="S301" s="1">
        <f t="shared" si="21"/>
        <v>665.6</v>
      </c>
      <c r="T301">
        <v>161.80000000000001</v>
      </c>
      <c r="U301">
        <v>152.1</v>
      </c>
      <c r="V301" s="1">
        <f t="shared" si="22"/>
        <v>474.29999999999995</v>
      </c>
      <c r="W301">
        <v>160.4</v>
      </c>
      <c r="X301">
        <v>161.6</v>
      </c>
      <c r="Y301" s="1">
        <f t="shared" si="23"/>
        <v>316.29999999999995</v>
      </c>
      <c r="Z301">
        <v>159.4</v>
      </c>
      <c r="AA301">
        <v>154.69999999999999</v>
      </c>
      <c r="AB301">
        <v>165.8</v>
      </c>
      <c r="AC301">
        <v>148.9</v>
      </c>
      <c r="AD301">
        <v>155.80000000000001</v>
      </c>
      <c r="AE301">
        <v>161.19999999999999</v>
      </c>
      <c r="AF301">
        <v>158.6</v>
      </c>
      <c r="AG301">
        <v>156.80000000000001</v>
      </c>
      <c r="AH301">
        <v>160.4</v>
      </c>
      <c r="AI301">
        <f>SUM('Cleaned Data'!AC301,'Cleaned Data'!AE301,'Cleaned Data'!Z301,'Cleaned Data'!AA301)</f>
        <v>624.20000000000005</v>
      </c>
      <c r="AJ301" s="1">
        <f t="shared" si="24"/>
        <v>156.05000000000001</v>
      </c>
    </row>
    <row r="302" spans="1:36">
      <c r="A302" t="s">
        <v>93</v>
      </c>
      <c r="B302">
        <v>2021</v>
      </c>
      <c r="C302" t="s">
        <v>23</v>
      </c>
      <c r="D302">
        <v>145.6</v>
      </c>
      <c r="E302">
        <v>200.1</v>
      </c>
      <c r="F302">
        <v>179.3</v>
      </c>
      <c r="G302">
        <v>156.1</v>
      </c>
      <c r="H302">
        <v>190.4</v>
      </c>
      <c r="I302">
        <v>158.6</v>
      </c>
      <c r="J302">
        <v>144.69999999999999</v>
      </c>
      <c r="K302">
        <v>165.5</v>
      </c>
      <c r="L302">
        <v>114.6</v>
      </c>
      <c r="M302">
        <v>170</v>
      </c>
      <c r="N302">
        <v>165.5</v>
      </c>
      <c r="O302">
        <v>171.7</v>
      </c>
      <c r="P302" s="1">
        <f t="shared" si="20"/>
        <v>1957.0999999999997</v>
      </c>
      <c r="Q302">
        <v>160.5</v>
      </c>
      <c r="R302">
        <v>189.1</v>
      </c>
      <c r="S302" s="1">
        <f t="shared" si="21"/>
        <v>674.4</v>
      </c>
      <c r="T302">
        <v>165.3</v>
      </c>
      <c r="U302">
        <v>159.9</v>
      </c>
      <c r="V302" s="1">
        <f t="shared" si="22"/>
        <v>489.80000000000007</v>
      </c>
      <c r="W302">
        <v>164.6</v>
      </c>
      <c r="X302">
        <v>160.5</v>
      </c>
      <c r="Y302" s="1">
        <f t="shared" si="23"/>
        <v>319.7</v>
      </c>
      <c r="Z302">
        <v>162.1</v>
      </c>
      <c r="AA302">
        <v>159.19999999999999</v>
      </c>
      <c r="AB302">
        <v>169.7</v>
      </c>
      <c r="AC302">
        <v>154.19999999999999</v>
      </c>
      <c r="AD302">
        <v>160.4</v>
      </c>
      <c r="AE302">
        <v>166.8</v>
      </c>
      <c r="AF302">
        <v>159.4</v>
      </c>
      <c r="AG302">
        <v>161.5</v>
      </c>
      <c r="AH302">
        <v>162.1</v>
      </c>
      <c r="AI302">
        <f>SUM('Cleaned Data'!AC302,'Cleaned Data'!AE302,'Cleaned Data'!Z302,'Cleaned Data'!AA302)</f>
        <v>642.29999999999995</v>
      </c>
      <c r="AJ302" s="1">
        <f t="shared" si="24"/>
        <v>160.57499999999999</v>
      </c>
    </row>
    <row r="303" spans="1:36">
      <c r="A303" t="s">
        <v>94</v>
      </c>
      <c r="B303">
        <v>2021</v>
      </c>
      <c r="C303" t="s">
        <v>23</v>
      </c>
      <c r="D303">
        <v>149.19999999999999</v>
      </c>
      <c r="E303">
        <v>205.5</v>
      </c>
      <c r="F303">
        <v>182.8</v>
      </c>
      <c r="G303">
        <v>156.5</v>
      </c>
      <c r="H303">
        <v>172.2</v>
      </c>
      <c r="I303">
        <v>171.5</v>
      </c>
      <c r="J303">
        <v>176.2</v>
      </c>
      <c r="K303">
        <v>166.9</v>
      </c>
      <c r="L303">
        <v>116.1</v>
      </c>
      <c r="M303">
        <v>165.5</v>
      </c>
      <c r="N303">
        <v>152.30000000000001</v>
      </c>
      <c r="O303">
        <v>173.3</v>
      </c>
      <c r="P303" s="1">
        <f t="shared" si="20"/>
        <v>2001.9</v>
      </c>
      <c r="Q303">
        <v>166.2</v>
      </c>
      <c r="R303">
        <v>195.6</v>
      </c>
      <c r="S303" s="1">
        <f t="shared" si="21"/>
        <v>656.59999999999991</v>
      </c>
      <c r="T303">
        <v>157.30000000000001</v>
      </c>
      <c r="U303">
        <v>140.5</v>
      </c>
      <c r="V303" s="1">
        <f t="shared" si="22"/>
        <v>452.6</v>
      </c>
      <c r="W303">
        <v>154.80000000000001</v>
      </c>
      <c r="X303">
        <v>160.5</v>
      </c>
      <c r="Y303" s="1">
        <f t="shared" si="23"/>
        <v>310.3</v>
      </c>
      <c r="Z303">
        <v>156.1</v>
      </c>
      <c r="AA303">
        <v>149.80000000000001</v>
      </c>
      <c r="AB303">
        <v>160.80000000000001</v>
      </c>
      <c r="AC303">
        <v>147.5</v>
      </c>
      <c r="AD303">
        <v>150.69999999999999</v>
      </c>
      <c r="AE303">
        <v>158.1</v>
      </c>
      <c r="AF303">
        <v>158</v>
      </c>
      <c r="AG303">
        <v>153.4</v>
      </c>
      <c r="AH303">
        <v>160.4</v>
      </c>
      <c r="AI303">
        <f>SUM('Cleaned Data'!AC303,'Cleaned Data'!AE303,'Cleaned Data'!Z303,'Cleaned Data'!AA303)</f>
        <v>611.5</v>
      </c>
      <c r="AJ303" s="1">
        <f t="shared" si="24"/>
        <v>152.875</v>
      </c>
    </row>
    <row r="304" spans="1:36">
      <c r="A304" t="s">
        <v>6</v>
      </c>
      <c r="B304">
        <v>2021</v>
      </c>
      <c r="C304" t="s">
        <v>23</v>
      </c>
      <c r="D304">
        <v>146.69999999999999</v>
      </c>
      <c r="E304">
        <v>202</v>
      </c>
      <c r="F304">
        <v>180.7</v>
      </c>
      <c r="G304">
        <v>156.19999999999999</v>
      </c>
      <c r="H304">
        <v>183.7</v>
      </c>
      <c r="I304">
        <v>164.6</v>
      </c>
      <c r="J304">
        <v>155.4</v>
      </c>
      <c r="K304">
        <v>166</v>
      </c>
      <c r="L304">
        <v>115.1</v>
      </c>
      <c r="M304">
        <v>168.5</v>
      </c>
      <c r="N304">
        <v>160</v>
      </c>
      <c r="O304">
        <v>172.4</v>
      </c>
      <c r="P304" s="1">
        <f t="shared" si="20"/>
        <v>1973.9</v>
      </c>
      <c r="Q304">
        <v>162.6</v>
      </c>
      <c r="R304">
        <v>190.8</v>
      </c>
      <c r="S304" s="1">
        <f t="shared" si="21"/>
        <v>664.5</v>
      </c>
      <c r="T304">
        <v>162.19999999999999</v>
      </c>
      <c r="U304">
        <v>151.80000000000001</v>
      </c>
      <c r="V304" s="1">
        <f t="shared" si="22"/>
        <v>474.7</v>
      </c>
      <c r="W304">
        <v>160.69999999999999</v>
      </c>
      <c r="X304">
        <v>160.5</v>
      </c>
      <c r="Y304" s="1">
        <f t="shared" si="23"/>
        <v>315.3</v>
      </c>
      <c r="Z304">
        <v>159.80000000000001</v>
      </c>
      <c r="AA304">
        <v>154.80000000000001</v>
      </c>
      <c r="AB304">
        <v>166.3</v>
      </c>
      <c r="AC304">
        <v>150.69999999999999</v>
      </c>
      <c r="AD304">
        <v>154.9</v>
      </c>
      <c r="AE304">
        <v>161.69999999999999</v>
      </c>
      <c r="AF304">
        <v>158.80000000000001</v>
      </c>
      <c r="AG304">
        <v>157.6</v>
      </c>
      <c r="AH304">
        <v>161.30000000000001</v>
      </c>
      <c r="AI304">
        <f>SUM('Cleaned Data'!AC304,'Cleaned Data'!AE304,'Cleaned Data'!Z304,'Cleaned Data'!AA304)</f>
        <v>627</v>
      </c>
      <c r="AJ304" s="1">
        <f t="shared" si="24"/>
        <v>156.75</v>
      </c>
    </row>
    <row r="305" spans="1:36">
      <c r="A305" t="s">
        <v>93</v>
      </c>
      <c r="B305">
        <v>2021</v>
      </c>
      <c r="C305" t="s">
        <v>25</v>
      </c>
      <c r="D305">
        <v>145.1</v>
      </c>
      <c r="E305">
        <v>204.5</v>
      </c>
      <c r="F305">
        <v>180.4</v>
      </c>
      <c r="G305">
        <v>157.1</v>
      </c>
      <c r="H305">
        <v>188.7</v>
      </c>
      <c r="I305">
        <v>157.69999999999999</v>
      </c>
      <c r="J305">
        <v>152.80000000000001</v>
      </c>
      <c r="K305">
        <v>163.6</v>
      </c>
      <c r="L305">
        <v>113.9</v>
      </c>
      <c r="M305">
        <v>169.7</v>
      </c>
      <c r="N305">
        <v>166.2</v>
      </c>
      <c r="O305">
        <v>171</v>
      </c>
      <c r="P305" s="1">
        <f t="shared" si="20"/>
        <v>1966.2</v>
      </c>
      <c r="Q305">
        <v>161.69999999999999</v>
      </c>
      <c r="R305">
        <v>189.7</v>
      </c>
      <c r="S305" s="1">
        <f t="shared" si="21"/>
        <v>676.99999999999989</v>
      </c>
      <c r="T305">
        <v>166</v>
      </c>
      <c r="U305">
        <v>161.1</v>
      </c>
      <c r="V305" s="1">
        <f t="shared" si="22"/>
        <v>492.40000000000003</v>
      </c>
      <c r="W305">
        <v>165.3</v>
      </c>
      <c r="X305">
        <v>161.5</v>
      </c>
      <c r="Y305" s="1">
        <f t="shared" si="23"/>
        <v>321.8</v>
      </c>
      <c r="Z305">
        <v>162.5</v>
      </c>
      <c r="AA305">
        <v>160.30000000000001</v>
      </c>
      <c r="AB305">
        <v>170.4</v>
      </c>
      <c r="AC305">
        <v>157.1</v>
      </c>
      <c r="AD305">
        <v>160.69999999999999</v>
      </c>
      <c r="AE305">
        <v>167.2</v>
      </c>
      <c r="AF305">
        <v>160.4</v>
      </c>
      <c r="AG305">
        <v>162.80000000000001</v>
      </c>
      <c r="AH305">
        <v>163.19999999999999</v>
      </c>
      <c r="AI305">
        <f>SUM('Cleaned Data'!AC305,'Cleaned Data'!AE305,'Cleaned Data'!Z305,'Cleaned Data'!AA305)</f>
        <v>647.09999999999991</v>
      </c>
      <c r="AJ305" s="1">
        <f t="shared" si="24"/>
        <v>161.77499999999998</v>
      </c>
    </row>
    <row r="306" spans="1:36">
      <c r="A306" t="s">
        <v>94</v>
      </c>
      <c r="B306">
        <v>2021</v>
      </c>
      <c r="C306" t="s">
        <v>25</v>
      </c>
      <c r="D306">
        <v>149.1</v>
      </c>
      <c r="E306">
        <v>210.9</v>
      </c>
      <c r="F306">
        <v>185</v>
      </c>
      <c r="G306">
        <v>158.19999999999999</v>
      </c>
      <c r="H306">
        <v>170.6</v>
      </c>
      <c r="I306">
        <v>170.9</v>
      </c>
      <c r="J306">
        <v>186.4</v>
      </c>
      <c r="K306">
        <v>164.7</v>
      </c>
      <c r="L306">
        <v>115.7</v>
      </c>
      <c r="M306">
        <v>165.5</v>
      </c>
      <c r="N306">
        <v>153.4</v>
      </c>
      <c r="O306">
        <v>173.5</v>
      </c>
      <c r="P306" s="1">
        <f t="shared" si="20"/>
        <v>2018.4</v>
      </c>
      <c r="Q306">
        <v>167.9</v>
      </c>
      <c r="R306">
        <v>195.5</v>
      </c>
      <c r="S306" s="1">
        <f t="shared" si="21"/>
        <v>659.69999999999993</v>
      </c>
      <c r="T306">
        <v>157.9</v>
      </c>
      <c r="U306">
        <v>141.9</v>
      </c>
      <c r="V306" s="1">
        <f t="shared" si="22"/>
        <v>455.3</v>
      </c>
      <c r="W306">
        <v>155.5</v>
      </c>
      <c r="X306">
        <v>161.5</v>
      </c>
      <c r="Y306" s="1">
        <f t="shared" si="23"/>
        <v>312.2</v>
      </c>
      <c r="Z306">
        <v>157.69999999999999</v>
      </c>
      <c r="AA306">
        <v>150.69999999999999</v>
      </c>
      <c r="AB306">
        <v>161.5</v>
      </c>
      <c r="AC306">
        <v>149.5</v>
      </c>
      <c r="AD306">
        <v>151.19999999999999</v>
      </c>
      <c r="AE306">
        <v>160.30000000000001</v>
      </c>
      <c r="AF306">
        <v>159.6</v>
      </c>
      <c r="AG306">
        <v>155</v>
      </c>
      <c r="AH306">
        <v>161.80000000000001</v>
      </c>
      <c r="AI306">
        <f>SUM('Cleaned Data'!AC306,'Cleaned Data'!AE306,'Cleaned Data'!Z306,'Cleaned Data'!AA306)</f>
        <v>618.20000000000005</v>
      </c>
      <c r="AJ306" s="1">
        <f t="shared" si="24"/>
        <v>154.55000000000001</v>
      </c>
    </row>
    <row r="307" spans="1:36">
      <c r="A307" t="s">
        <v>6</v>
      </c>
      <c r="B307">
        <v>2021</v>
      </c>
      <c r="C307" t="s">
        <v>25</v>
      </c>
      <c r="D307">
        <v>146.4</v>
      </c>
      <c r="E307">
        <v>206.8</v>
      </c>
      <c r="F307">
        <v>182.2</v>
      </c>
      <c r="G307">
        <v>157.5</v>
      </c>
      <c r="H307">
        <v>182.1</v>
      </c>
      <c r="I307">
        <v>163.9</v>
      </c>
      <c r="J307">
        <v>164.2</v>
      </c>
      <c r="K307">
        <v>164</v>
      </c>
      <c r="L307">
        <v>114.5</v>
      </c>
      <c r="M307">
        <v>168.3</v>
      </c>
      <c r="N307">
        <v>160.9</v>
      </c>
      <c r="O307">
        <v>172.2</v>
      </c>
      <c r="P307" s="1">
        <f t="shared" si="20"/>
        <v>1986.1000000000001</v>
      </c>
      <c r="Q307">
        <v>164</v>
      </c>
      <c r="R307">
        <v>191.2</v>
      </c>
      <c r="S307" s="1">
        <f t="shared" si="21"/>
        <v>667.5</v>
      </c>
      <c r="T307">
        <v>162.80000000000001</v>
      </c>
      <c r="U307">
        <v>153.1</v>
      </c>
      <c r="V307" s="1">
        <f t="shared" si="22"/>
        <v>477.29999999999995</v>
      </c>
      <c r="W307">
        <v>161.4</v>
      </c>
      <c r="X307">
        <v>161.5</v>
      </c>
      <c r="Y307" s="1">
        <f t="shared" si="23"/>
        <v>317.3</v>
      </c>
      <c r="Z307">
        <v>160.69999999999999</v>
      </c>
      <c r="AA307">
        <v>155.80000000000001</v>
      </c>
      <c r="AB307">
        <v>167</v>
      </c>
      <c r="AC307">
        <v>153.1</v>
      </c>
      <c r="AD307">
        <v>155.30000000000001</v>
      </c>
      <c r="AE307">
        <v>163.19999999999999</v>
      </c>
      <c r="AF307">
        <v>160.1</v>
      </c>
      <c r="AG307">
        <v>159</v>
      </c>
      <c r="AH307">
        <v>162.5</v>
      </c>
      <c r="AI307">
        <f>SUM('Cleaned Data'!AC307,'Cleaned Data'!AE307,'Cleaned Data'!Z307,'Cleaned Data'!AA307)</f>
        <v>632.79999999999995</v>
      </c>
      <c r="AJ307" s="1">
        <f t="shared" si="24"/>
        <v>158.19999999999999</v>
      </c>
    </row>
    <row r="308" spans="1:36">
      <c r="A308" t="s">
        <v>93</v>
      </c>
      <c r="B308">
        <v>2021</v>
      </c>
      <c r="C308" t="s">
        <v>27</v>
      </c>
      <c r="D308">
        <v>144.9</v>
      </c>
      <c r="E308">
        <v>202.3</v>
      </c>
      <c r="F308">
        <v>176.5</v>
      </c>
      <c r="G308">
        <v>157.5</v>
      </c>
      <c r="H308">
        <v>190.9</v>
      </c>
      <c r="I308">
        <v>155.69999999999999</v>
      </c>
      <c r="J308">
        <v>153.9</v>
      </c>
      <c r="K308">
        <v>162.80000000000001</v>
      </c>
      <c r="L308">
        <v>115.2</v>
      </c>
      <c r="M308">
        <v>169.8</v>
      </c>
      <c r="N308">
        <v>167.6</v>
      </c>
      <c r="O308">
        <v>171.9</v>
      </c>
      <c r="P308" s="1">
        <f t="shared" si="20"/>
        <v>1963.2</v>
      </c>
      <c r="Q308">
        <v>161.80000000000001</v>
      </c>
      <c r="R308">
        <v>190.2</v>
      </c>
      <c r="S308" s="1">
        <f t="shared" si="21"/>
        <v>679.2</v>
      </c>
      <c r="T308">
        <v>167</v>
      </c>
      <c r="U308">
        <v>162.6</v>
      </c>
      <c r="V308" s="1">
        <f t="shared" si="22"/>
        <v>495.90000000000003</v>
      </c>
      <c r="W308">
        <v>166.3</v>
      </c>
      <c r="X308">
        <v>162.1</v>
      </c>
      <c r="Y308" s="1">
        <f t="shared" si="23"/>
        <v>323</v>
      </c>
      <c r="Z308">
        <v>163.1</v>
      </c>
      <c r="AA308">
        <v>160.9</v>
      </c>
      <c r="AB308">
        <v>171.1</v>
      </c>
      <c r="AC308">
        <v>157.69999999999999</v>
      </c>
      <c r="AD308">
        <v>161.1</v>
      </c>
      <c r="AE308">
        <v>167.5</v>
      </c>
      <c r="AF308">
        <v>160.30000000000001</v>
      </c>
      <c r="AG308">
        <v>163.30000000000001</v>
      </c>
      <c r="AH308">
        <v>163.6</v>
      </c>
      <c r="AI308">
        <f>SUM('Cleaned Data'!AC308,'Cleaned Data'!AE308,'Cleaned Data'!Z308,'Cleaned Data'!AA308)</f>
        <v>649.19999999999993</v>
      </c>
      <c r="AJ308" s="1">
        <f t="shared" si="24"/>
        <v>162.30000000000001</v>
      </c>
    </row>
    <row r="309" spans="1:36">
      <c r="A309" t="s">
        <v>94</v>
      </c>
      <c r="B309">
        <v>2021</v>
      </c>
      <c r="C309" t="s">
        <v>27</v>
      </c>
      <c r="D309">
        <v>149.30000000000001</v>
      </c>
      <c r="E309">
        <v>207.4</v>
      </c>
      <c r="F309">
        <v>174.1</v>
      </c>
      <c r="G309">
        <v>159.19999999999999</v>
      </c>
      <c r="H309">
        <v>175</v>
      </c>
      <c r="I309">
        <v>161.30000000000001</v>
      </c>
      <c r="J309">
        <v>183.3</v>
      </c>
      <c r="K309">
        <v>164.5</v>
      </c>
      <c r="L309">
        <v>120.4</v>
      </c>
      <c r="M309">
        <v>166.2</v>
      </c>
      <c r="N309">
        <v>154.80000000000001</v>
      </c>
      <c r="O309">
        <v>175.1</v>
      </c>
      <c r="P309" s="1">
        <f t="shared" si="20"/>
        <v>2003.1</v>
      </c>
      <c r="Q309">
        <v>167.3</v>
      </c>
      <c r="R309">
        <v>196.5</v>
      </c>
      <c r="S309" s="1">
        <f t="shared" si="21"/>
        <v>664.6</v>
      </c>
      <c r="T309">
        <v>159.80000000000001</v>
      </c>
      <c r="U309">
        <v>143.6</v>
      </c>
      <c r="V309" s="1">
        <f t="shared" si="22"/>
        <v>460.7</v>
      </c>
      <c r="W309">
        <v>157.30000000000001</v>
      </c>
      <c r="X309">
        <v>162.1</v>
      </c>
      <c r="Y309" s="1">
        <f t="shared" si="23"/>
        <v>315.29999999999995</v>
      </c>
      <c r="Z309">
        <v>160.69999999999999</v>
      </c>
      <c r="AA309">
        <v>153.19999999999999</v>
      </c>
      <c r="AB309">
        <v>162.80000000000001</v>
      </c>
      <c r="AC309">
        <v>150.4</v>
      </c>
      <c r="AD309">
        <v>153.69999999999999</v>
      </c>
      <c r="AE309">
        <v>160.4</v>
      </c>
      <c r="AF309">
        <v>159.6</v>
      </c>
      <c r="AG309">
        <v>156</v>
      </c>
      <c r="AH309">
        <v>162.30000000000001</v>
      </c>
      <c r="AI309">
        <f>SUM('Cleaned Data'!AC309,'Cleaned Data'!AE309,'Cleaned Data'!Z309,'Cleaned Data'!AA309)</f>
        <v>624.70000000000005</v>
      </c>
      <c r="AJ309" s="1">
        <f t="shared" si="24"/>
        <v>156.17500000000001</v>
      </c>
    </row>
    <row r="310" spans="1:36">
      <c r="A310" t="s">
        <v>6</v>
      </c>
      <c r="B310">
        <v>2021</v>
      </c>
      <c r="C310" t="s">
        <v>27</v>
      </c>
      <c r="D310">
        <v>146.6</v>
      </c>
      <c r="E310">
        <v>204</v>
      </c>
      <c r="F310">
        <v>172.8</v>
      </c>
      <c r="G310">
        <v>158.4</v>
      </c>
      <c r="H310">
        <v>188</v>
      </c>
      <c r="I310">
        <v>156.80000000000001</v>
      </c>
      <c r="J310">
        <v>162.19999999999999</v>
      </c>
      <c r="K310">
        <v>164.1</v>
      </c>
      <c r="L310">
        <v>119.7</v>
      </c>
      <c r="M310">
        <v>168.8</v>
      </c>
      <c r="N310">
        <v>162.69999999999999</v>
      </c>
      <c r="O310">
        <v>173.9</v>
      </c>
      <c r="P310" s="1">
        <f t="shared" si="20"/>
        <v>1979.3</v>
      </c>
      <c r="Q310">
        <v>164</v>
      </c>
      <c r="R310">
        <v>192.1</v>
      </c>
      <c r="S310" s="1">
        <f t="shared" si="21"/>
        <v>672.4</v>
      </c>
      <c r="T310">
        <v>164.5</v>
      </c>
      <c r="U310">
        <v>155.30000000000001</v>
      </c>
      <c r="V310" s="1">
        <f t="shared" si="22"/>
        <v>483</v>
      </c>
      <c r="W310">
        <v>163.19999999999999</v>
      </c>
      <c r="X310">
        <v>162.1</v>
      </c>
      <c r="Y310" s="1">
        <f t="shared" si="23"/>
        <v>319.60000000000002</v>
      </c>
      <c r="Z310">
        <v>162.6</v>
      </c>
      <c r="AA310">
        <v>157.5</v>
      </c>
      <c r="AB310">
        <v>168.4</v>
      </c>
      <c r="AC310">
        <v>154</v>
      </c>
      <c r="AD310">
        <v>157.6</v>
      </c>
      <c r="AE310">
        <v>163.80000000000001</v>
      </c>
      <c r="AF310">
        <v>160</v>
      </c>
      <c r="AG310">
        <v>160</v>
      </c>
      <c r="AH310">
        <v>163.19999999999999</v>
      </c>
      <c r="AI310">
        <f>SUM('Cleaned Data'!AC310,'Cleaned Data'!AE310,'Cleaned Data'!Z310,'Cleaned Data'!AA310)</f>
        <v>637.9</v>
      </c>
      <c r="AJ310" s="1">
        <f t="shared" si="24"/>
        <v>159.47499999999999</v>
      </c>
    </row>
    <row r="311" spans="1:36">
      <c r="A311" t="s">
        <v>93</v>
      </c>
      <c r="B311">
        <v>2021</v>
      </c>
      <c r="C311" t="s">
        <v>29</v>
      </c>
      <c r="D311">
        <v>145.4</v>
      </c>
      <c r="E311">
        <v>202.1</v>
      </c>
      <c r="F311">
        <v>172</v>
      </c>
      <c r="G311">
        <v>158</v>
      </c>
      <c r="H311">
        <v>195.5</v>
      </c>
      <c r="I311">
        <v>152.69999999999999</v>
      </c>
      <c r="J311">
        <v>151.4</v>
      </c>
      <c r="K311">
        <v>163.9</v>
      </c>
      <c r="L311">
        <v>119.3</v>
      </c>
      <c r="M311">
        <v>170.1</v>
      </c>
      <c r="N311">
        <v>168.3</v>
      </c>
      <c r="O311">
        <v>172.8</v>
      </c>
      <c r="P311" s="1">
        <f t="shared" si="20"/>
        <v>1965.3</v>
      </c>
      <c r="Q311">
        <v>162.1</v>
      </c>
      <c r="R311">
        <v>190.5</v>
      </c>
      <c r="S311" s="1">
        <f t="shared" si="21"/>
        <v>681.7</v>
      </c>
      <c r="T311">
        <v>167.7</v>
      </c>
      <c r="U311">
        <v>163.6</v>
      </c>
      <c r="V311" s="1">
        <f t="shared" si="22"/>
        <v>498.4</v>
      </c>
      <c r="W311">
        <v>167.1</v>
      </c>
      <c r="X311">
        <v>162.1</v>
      </c>
      <c r="Y311" s="1">
        <f t="shared" si="23"/>
        <v>323.39999999999998</v>
      </c>
      <c r="Z311">
        <v>163.69999999999999</v>
      </c>
      <c r="AA311">
        <v>161.30000000000001</v>
      </c>
      <c r="AB311">
        <v>171.9</v>
      </c>
      <c r="AC311">
        <v>157.80000000000001</v>
      </c>
      <c r="AD311">
        <v>162.69999999999999</v>
      </c>
      <c r="AE311">
        <v>168.5</v>
      </c>
      <c r="AF311">
        <v>160.19999999999999</v>
      </c>
      <c r="AG311">
        <v>163.80000000000001</v>
      </c>
      <c r="AH311">
        <v>164</v>
      </c>
      <c r="AI311">
        <f>SUM('Cleaned Data'!AC311,'Cleaned Data'!AE311,'Cleaned Data'!Z311,'Cleaned Data'!AA311)</f>
        <v>651.29999999999995</v>
      </c>
      <c r="AJ311" s="1">
        <f t="shared" si="24"/>
        <v>162.82499999999999</v>
      </c>
    </row>
    <row r="312" spans="1:36">
      <c r="A312" t="s">
        <v>94</v>
      </c>
      <c r="B312">
        <v>2021</v>
      </c>
      <c r="C312" t="s">
        <v>29</v>
      </c>
      <c r="D312">
        <v>149.30000000000001</v>
      </c>
      <c r="E312">
        <v>207.4</v>
      </c>
      <c r="F312">
        <v>174.1</v>
      </c>
      <c r="G312">
        <v>159.1</v>
      </c>
      <c r="H312">
        <v>175</v>
      </c>
      <c r="I312">
        <v>161.19999999999999</v>
      </c>
      <c r="J312">
        <v>183.5</v>
      </c>
      <c r="K312">
        <v>164.5</v>
      </c>
      <c r="L312">
        <v>120.4</v>
      </c>
      <c r="M312">
        <v>166.2</v>
      </c>
      <c r="N312">
        <v>154.80000000000001</v>
      </c>
      <c r="O312">
        <v>175.1</v>
      </c>
      <c r="P312" s="1">
        <f t="shared" si="20"/>
        <v>2003.0999999999997</v>
      </c>
      <c r="Q312">
        <v>167.3</v>
      </c>
      <c r="R312">
        <v>196.5</v>
      </c>
      <c r="S312" s="1">
        <f t="shared" si="21"/>
        <v>664.80000000000007</v>
      </c>
      <c r="T312">
        <v>159.80000000000001</v>
      </c>
      <c r="U312">
        <v>143.6</v>
      </c>
      <c r="V312" s="1">
        <f t="shared" si="22"/>
        <v>460.79999999999995</v>
      </c>
      <c r="W312">
        <v>157.4</v>
      </c>
      <c r="X312">
        <v>162.1</v>
      </c>
      <c r="Y312" s="1">
        <f t="shared" si="23"/>
        <v>315.39999999999998</v>
      </c>
      <c r="Z312">
        <v>160.80000000000001</v>
      </c>
      <c r="AA312">
        <v>153.30000000000001</v>
      </c>
      <c r="AB312">
        <v>162.80000000000001</v>
      </c>
      <c r="AC312">
        <v>150.5</v>
      </c>
      <c r="AD312">
        <v>153.9</v>
      </c>
      <c r="AE312">
        <v>160.30000000000001</v>
      </c>
      <c r="AF312">
        <v>159.6</v>
      </c>
      <c r="AG312">
        <v>156</v>
      </c>
      <c r="AH312">
        <v>162.30000000000001</v>
      </c>
      <c r="AI312">
        <f>SUM('Cleaned Data'!AC312,'Cleaned Data'!AE312,'Cleaned Data'!Z312,'Cleaned Data'!AA312)</f>
        <v>624.90000000000009</v>
      </c>
      <c r="AJ312" s="1">
        <f t="shared" si="24"/>
        <v>156.22500000000002</v>
      </c>
    </row>
    <row r="313" spans="1:36">
      <c r="A313" t="s">
        <v>6</v>
      </c>
      <c r="B313">
        <v>2021</v>
      </c>
      <c r="C313" t="s">
        <v>29</v>
      </c>
      <c r="D313">
        <v>146.6</v>
      </c>
      <c r="E313">
        <v>204</v>
      </c>
      <c r="F313">
        <v>172.8</v>
      </c>
      <c r="G313">
        <v>158.4</v>
      </c>
      <c r="H313">
        <v>188</v>
      </c>
      <c r="I313">
        <v>156.69999999999999</v>
      </c>
      <c r="J313">
        <v>162.30000000000001</v>
      </c>
      <c r="K313">
        <v>164.1</v>
      </c>
      <c r="L313">
        <v>119.7</v>
      </c>
      <c r="M313">
        <v>168.8</v>
      </c>
      <c r="N313">
        <v>162.69999999999999</v>
      </c>
      <c r="O313">
        <v>173.9</v>
      </c>
      <c r="P313" s="1">
        <f t="shared" si="20"/>
        <v>1979.3</v>
      </c>
      <c r="Q313">
        <v>164</v>
      </c>
      <c r="R313">
        <v>192.1</v>
      </c>
      <c r="S313" s="1">
        <f t="shared" si="21"/>
        <v>672.5</v>
      </c>
      <c r="T313">
        <v>164.6</v>
      </c>
      <c r="U313">
        <v>155.30000000000001</v>
      </c>
      <c r="V313" s="1">
        <f t="shared" si="22"/>
        <v>483.2</v>
      </c>
      <c r="W313">
        <v>163.30000000000001</v>
      </c>
      <c r="X313">
        <v>162.1</v>
      </c>
      <c r="Y313" s="1">
        <f t="shared" si="23"/>
        <v>319.60000000000002</v>
      </c>
      <c r="Z313">
        <v>162.6</v>
      </c>
      <c r="AA313">
        <v>157.5</v>
      </c>
      <c r="AB313">
        <v>168.4</v>
      </c>
      <c r="AC313">
        <v>154</v>
      </c>
      <c r="AD313">
        <v>157.69999999999999</v>
      </c>
      <c r="AE313">
        <v>163.69999999999999</v>
      </c>
      <c r="AF313">
        <v>160</v>
      </c>
      <c r="AG313">
        <v>160</v>
      </c>
      <c r="AH313">
        <v>163.19999999999999</v>
      </c>
      <c r="AI313">
        <f>SUM('Cleaned Data'!AC313,'Cleaned Data'!AE313,'Cleaned Data'!Z313,'Cleaned Data'!AA313)</f>
        <v>637.79999999999995</v>
      </c>
      <c r="AJ313" s="1">
        <f t="shared" si="24"/>
        <v>159.44999999999999</v>
      </c>
    </row>
    <row r="314" spans="1:36">
      <c r="A314" t="s">
        <v>93</v>
      </c>
      <c r="B314">
        <v>2021</v>
      </c>
      <c r="C314" t="s">
        <v>31</v>
      </c>
      <c r="D314">
        <v>146.1</v>
      </c>
      <c r="E314">
        <v>202.5</v>
      </c>
      <c r="F314">
        <v>170.1</v>
      </c>
      <c r="G314">
        <v>158.4</v>
      </c>
      <c r="H314">
        <v>198.8</v>
      </c>
      <c r="I314">
        <v>152.6</v>
      </c>
      <c r="J314">
        <v>170.4</v>
      </c>
      <c r="K314">
        <v>165.2</v>
      </c>
      <c r="L314">
        <v>121.6</v>
      </c>
      <c r="M314">
        <v>170.6</v>
      </c>
      <c r="N314">
        <v>168.8</v>
      </c>
      <c r="O314">
        <v>173.6</v>
      </c>
      <c r="P314" s="1">
        <f t="shared" si="20"/>
        <v>1995.3999999999999</v>
      </c>
      <c r="Q314">
        <v>165.5</v>
      </c>
      <c r="R314">
        <v>191.2</v>
      </c>
      <c r="S314" s="1">
        <f t="shared" si="21"/>
        <v>684.30000000000007</v>
      </c>
      <c r="T314">
        <v>168.9</v>
      </c>
      <c r="U314">
        <v>164.8</v>
      </c>
      <c r="V314" s="1">
        <f t="shared" si="22"/>
        <v>502.00000000000006</v>
      </c>
      <c r="W314">
        <v>168.3</v>
      </c>
      <c r="X314">
        <v>163.6</v>
      </c>
      <c r="Y314" s="1">
        <f t="shared" si="23"/>
        <v>325.60000000000002</v>
      </c>
      <c r="Z314">
        <v>165.5</v>
      </c>
      <c r="AA314">
        <v>162</v>
      </c>
      <c r="AB314">
        <v>172.5</v>
      </c>
      <c r="AC314">
        <v>159.5</v>
      </c>
      <c r="AD314">
        <v>163.19999999999999</v>
      </c>
      <c r="AE314">
        <v>169</v>
      </c>
      <c r="AF314">
        <v>161.1</v>
      </c>
      <c r="AG314">
        <v>164.7</v>
      </c>
      <c r="AH314">
        <v>166.3</v>
      </c>
      <c r="AI314">
        <f>SUM('Cleaned Data'!AC314,'Cleaned Data'!AE314,'Cleaned Data'!Z314,'Cleaned Data'!AA314)</f>
        <v>656</v>
      </c>
      <c r="AJ314" s="1">
        <f t="shared" si="24"/>
        <v>164</v>
      </c>
    </row>
    <row r="315" spans="1:36">
      <c r="A315" t="s">
        <v>94</v>
      </c>
      <c r="B315">
        <v>2021</v>
      </c>
      <c r="C315" t="s">
        <v>31</v>
      </c>
      <c r="D315">
        <v>150.1</v>
      </c>
      <c r="E315">
        <v>208.4</v>
      </c>
      <c r="F315">
        <v>173</v>
      </c>
      <c r="G315">
        <v>159.19999999999999</v>
      </c>
      <c r="H315">
        <v>176.6</v>
      </c>
      <c r="I315">
        <v>159.30000000000001</v>
      </c>
      <c r="J315">
        <v>214.4</v>
      </c>
      <c r="K315">
        <v>165.3</v>
      </c>
      <c r="L315">
        <v>122.5</v>
      </c>
      <c r="M315">
        <v>166.8</v>
      </c>
      <c r="N315">
        <v>155.4</v>
      </c>
      <c r="O315">
        <v>175.9</v>
      </c>
      <c r="P315" s="1">
        <f t="shared" si="20"/>
        <v>2043</v>
      </c>
      <c r="Q315">
        <v>171.5</v>
      </c>
      <c r="R315">
        <v>197</v>
      </c>
      <c r="S315" s="1">
        <f t="shared" si="21"/>
        <v>667.8</v>
      </c>
      <c r="T315">
        <v>160.80000000000001</v>
      </c>
      <c r="U315">
        <v>144.4</v>
      </c>
      <c r="V315" s="1">
        <f t="shared" si="22"/>
        <v>463.50000000000006</v>
      </c>
      <c r="W315">
        <v>158.30000000000001</v>
      </c>
      <c r="X315">
        <v>163.6</v>
      </c>
      <c r="Y315" s="1">
        <f t="shared" si="23"/>
        <v>317.89999999999998</v>
      </c>
      <c r="Z315">
        <v>162.19999999999999</v>
      </c>
      <c r="AA315">
        <v>154.30000000000001</v>
      </c>
      <c r="AB315">
        <v>163.5</v>
      </c>
      <c r="AC315">
        <v>152.19999999999999</v>
      </c>
      <c r="AD315">
        <v>155.1</v>
      </c>
      <c r="AE315">
        <v>160.30000000000001</v>
      </c>
      <c r="AF315">
        <v>160.30000000000001</v>
      </c>
      <c r="AG315">
        <v>157</v>
      </c>
      <c r="AH315">
        <v>164.6</v>
      </c>
      <c r="AI315">
        <f>SUM('Cleaned Data'!AC315,'Cleaned Data'!AE315,'Cleaned Data'!Z315,'Cleaned Data'!AA315)</f>
        <v>629</v>
      </c>
      <c r="AJ315" s="1">
        <f t="shared" si="24"/>
        <v>157.25</v>
      </c>
    </row>
    <row r="316" spans="1:36">
      <c r="A316" t="s">
        <v>6</v>
      </c>
      <c r="B316">
        <v>2021</v>
      </c>
      <c r="C316" t="s">
        <v>31</v>
      </c>
      <c r="D316">
        <v>147.4</v>
      </c>
      <c r="E316">
        <v>204.6</v>
      </c>
      <c r="F316">
        <v>171.2</v>
      </c>
      <c r="G316">
        <v>158.69999999999999</v>
      </c>
      <c r="H316">
        <v>190.6</v>
      </c>
      <c r="I316">
        <v>155.69999999999999</v>
      </c>
      <c r="J316">
        <v>185.3</v>
      </c>
      <c r="K316">
        <v>165.2</v>
      </c>
      <c r="L316">
        <v>121.9</v>
      </c>
      <c r="M316">
        <v>169.3</v>
      </c>
      <c r="N316">
        <v>163.19999999999999</v>
      </c>
      <c r="O316">
        <v>174.7</v>
      </c>
      <c r="P316" s="1">
        <f t="shared" si="20"/>
        <v>2012.3</v>
      </c>
      <c r="Q316">
        <v>167.7</v>
      </c>
      <c r="R316">
        <v>192.7</v>
      </c>
      <c r="S316" s="1">
        <f t="shared" si="21"/>
        <v>675.3</v>
      </c>
      <c r="T316">
        <v>165.7</v>
      </c>
      <c r="U316">
        <v>156.30000000000001</v>
      </c>
      <c r="V316" s="1">
        <f t="shared" si="22"/>
        <v>486.3</v>
      </c>
      <c r="W316">
        <v>164.3</v>
      </c>
      <c r="X316">
        <v>163.6</v>
      </c>
      <c r="Y316" s="1">
        <f t="shared" si="23"/>
        <v>322</v>
      </c>
      <c r="Z316">
        <v>164.2</v>
      </c>
      <c r="AA316">
        <v>158.4</v>
      </c>
      <c r="AB316">
        <v>169.1</v>
      </c>
      <c r="AC316">
        <v>155.69999999999999</v>
      </c>
      <c r="AD316">
        <v>158.6</v>
      </c>
      <c r="AE316">
        <v>163.9</v>
      </c>
      <c r="AF316">
        <v>160.80000000000001</v>
      </c>
      <c r="AG316">
        <v>161</v>
      </c>
      <c r="AH316">
        <v>165.5</v>
      </c>
      <c r="AI316">
        <f>SUM('Cleaned Data'!AC316,'Cleaned Data'!AE316,'Cleaned Data'!Z316,'Cleaned Data'!AA316)</f>
        <v>642.20000000000005</v>
      </c>
      <c r="AJ316" s="1">
        <f t="shared" si="24"/>
        <v>160.55000000000001</v>
      </c>
    </row>
    <row r="317" spans="1:36">
      <c r="A317" t="s">
        <v>93</v>
      </c>
      <c r="B317">
        <v>2021</v>
      </c>
      <c r="C317" t="s">
        <v>33</v>
      </c>
      <c r="D317">
        <v>146.9</v>
      </c>
      <c r="E317">
        <v>199.8</v>
      </c>
      <c r="F317">
        <v>171.5</v>
      </c>
      <c r="G317">
        <v>159.1</v>
      </c>
      <c r="H317">
        <v>198.4</v>
      </c>
      <c r="I317">
        <v>153.19999999999999</v>
      </c>
      <c r="J317">
        <v>183.9</v>
      </c>
      <c r="K317">
        <v>165.4</v>
      </c>
      <c r="L317">
        <v>122.1</v>
      </c>
      <c r="M317">
        <v>170.8</v>
      </c>
      <c r="N317">
        <v>169.1</v>
      </c>
      <c r="O317">
        <v>174.3</v>
      </c>
      <c r="P317" s="1">
        <f t="shared" si="20"/>
        <v>2012.9</v>
      </c>
      <c r="Q317">
        <v>167.5</v>
      </c>
      <c r="R317">
        <v>191.4</v>
      </c>
      <c r="S317" s="1">
        <f t="shared" si="21"/>
        <v>686.69999999999993</v>
      </c>
      <c r="T317">
        <v>170.4</v>
      </c>
      <c r="U317">
        <v>166</v>
      </c>
      <c r="V317" s="1">
        <f t="shared" si="22"/>
        <v>506.2</v>
      </c>
      <c r="W317">
        <v>169.8</v>
      </c>
      <c r="X317">
        <v>164.2</v>
      </c>
      <c r="Y317" s="1">
        <f t="shared" si="23"/>
        <v>327.10000000000002</v>
      </c>
      <c r="Z317">
        <v>165.3</v>
      </c>
      <c r="AA317">
        <v>162.9</v>
      </c>
      <c r="AB317">
        <v>173.4</v>
      </c>
      <c r="AC317">
        <v>158.9</v>
      </c>
      <c r="AD317">
        <v>163.80000000000001</v>
      </c>
      <c r="AE317">
        <v>169.3</v>
      </c>
      <c r="AF317">
        <v>162.4</v>
      </c>
      <c r="AG317">
        <v>165.2</v>
      </c>
      <c r="AH317">
        <v>167.6</v>
      </c>
      <c r="AI317">
        <f>SUM('Cleaned Data'!AC317,'Cleaned Data'!AE317,'Cleaned Data'!Z317,'Cleaned Data'!AA317)</f>
        <v>656.40000000000009</v>
      </c>
      <c r="AJ317" s="1">
        <f t="shared" si="24"/>
        <v>164.10000000000002</v>
      </c>
    </row>
    <row r="318" spans="1:36">
      <c r="A318" t="s">
        <v>94</v>
      </c>
      <c r="B318">
        <v>2021</v>
      </c>
      <c r="C318" t="s">
        <v>33</v>
      </c>
      <c r="D318">
        <v>151</v>
      </c>
      <c r="E318">
        <v>204.9</v>
      </c>
      <c r="F318">
        <v>175.4</v>
      </c>
      <c r="G318">
        <v>159.6</v>
      </c>
      <c r="H318">
        <v>175.8</v>
      </c>
      <c r="I318">
        <v>160.30000000000001</v>
      </c>
      <c r="J318">
        <v>229.1</v>
      </c>
      <c r="K318">
        <v>165.1</v>
      </c>
      <c r="L318">
        <v>123.1</v>
      </c>
      <c r="M318">
        <v>167.2</v>
      </c>
      <c r="N318">
        <v>156.1</v>
      </c>
      <c r="O318">
        <v>176.8</v>
      </c>
      <c r="P318" s="1">
        <f t="shared" si="20"/>
        <v>2061.8000000000002</v>
      </c>
      <c r="Q318">
        <v>173.5</v>
      </c>
      <c r="R318">
        <v>197</v>
      </c>
      <c r="S318" s="1">
        <f t="shared" si="21"/>
        <v>671.6</v>
      </c>
      <c r="T318">
        <v>162.30000000000001</v>
      </c>
      <c r="U318">
        <v>145.30000000000001</v>
      </c>
      <c r="V318" s="1">
        <f t="shared" si="22"/>
        <v>467.3</v>
      </c>
      <c r="W318">
        <v>159.69999999999999</v>
      </c>
      <c r="X318">
        <v>164.2</v>
      </c>
      <c r="Y318" s="1">
        <f t="shared" si="23"/>
        <v>319.39999999999998</v>
      </c>
      <c r="Z318">
        <v>161.6</v>
      </c>
      <c r="AA318">
        <v>155.19999999999999</v>
      </c>
      <c r="AB318">
        <v>164.2</v>
      </c>
      <c r="AC318">
        <v>151.19999999999999</v>
      </c>
      <c r="AD318">
        <v>156.69999999999999</v>
      </c>
      <c r="AE318">
        <v>160.80000000000001</v>
      </c>
      <c r="AF318">
        <v>161.80000000000001</v>
      </c>
      <c r="AG318">
        <v>157.30000000000001</v>
      </c>
      <c r="AH318">
        <v>165.6</v>
      </c>
      <c r="AI318">
        <f>SUM('Cleaned Data'!AC318,'Cleaned Data'!AE318,'Cleaned Data'!Z318,'Cleaned Data'!AA318)</f>
        <v>628.79999999999995</v>
      </c>
      <c r="AJ318" s="1">
        <f t="shared" si="24"/>
        <v>157.19999999999999</v>
      </c>
    </row>
    <row r="319" spans="1:36">
      <c r="A319" t="s">
        <v>6</v>
      </c>
      <c r="B319">
        <v>2021</v>
      </c>
      <c r="C319" t="s">
        <v>33</v>
      </c>
      <c r="D319">
        <v>148.19999999999999</v>
      </c>
      <c r="E319">
        <v>201.6</v>
      </c>
      <c r="F319">
        <v>173</v>
      </c>
      <c r="G319">
        <v>159.30000000000001</v>
      </c>
      <c r="H319">
        <v>190.1</v>
      </c>
      <c r="I319">
        <v>156.5</v>
      </c>
      <c r="J319">
        <v>199.2</v>
      </c>
      <c r="K319">
        <v>165.3</v>
      </c>
      <c r="L319">
        <v>122.4</v>
      </c>
      <c r="M319">
        <v>169.6</v>
      </c>
      <c r="N319">
        <v>163.69999999999999</v>
      </c>
      <c r="O319">
        <v>175.5</v>
      </c>
      <c r="P319" s="1">
        <f t="shared" si="20"/>
        <v>2030.3999999999999</v>
      </c>
      <c r="Q319">
        <v>169.7</v>
      </c>
      <c r="R319">
        <v>192.9</v>
      </c>
      <c r="S319" s="1">
        <f t="shared" si="21"/>
        <v>678.60000000000014</v>
      </c>
      <c r="T319">
        <v>167.2</v>
      </c>
      <c r="U319">
        <v>157.4</v>
      </c>
      <c r="V319" s="1">
        <f t="shared" si="22"/>
        <v>490.40000000000003</v>
      </c>
      <c r="W319">
        <v>165.8</v>
      </c>
      <c r="X319">
        <v>164.2</v>
      </c>
      <c r="Y319" s="1">
        <f t="shared" si="23"/>
        <v>323.5</v>
      </c>
      <c r="Z319">
        <v>163.9</v>
      </c>
      <c r="AA319">
        <v>159.30000000000001</v>
      </c>
      <c r="AB319">
        <v>169.9</v>
      </c>
      <c r="AC319">
        <v>154.80000000000001</v>
      </c>
      <c r="AD319">
        <v>159.80000000000001</v>
      </c>
      <c r="AE319">
        <v>164.3</v>
      </c>
      <c r="AF319">
        <v>162.19999999999999</v>
      </c>
      <c r="AG319">
        <v>161.4</v>
      </c>
      <c r="AH319">
        <v>166.7</v>
      </c>
      <c r="AI319">
        <f>SUM('Cleaned Data'!AC319,'Cleaned Data'!AE319,'Cleaned Data'!Z319,'Cleaned Data'!AA319)</f>
        <v>642.29999999999995</v>
      </c>
      <c r="AJ319" s="1">
        <f t="shared" si="24"/>
        <v>160.57500000000002</v>
      </c>
    </row>
    <row r="320" spans="1:36">
      <c r="A320" t="s">
        <v>93</v>
      </c>
      <c r="B320">
        <v>2021</v>
      </c>
      <c r="C320" t="s">
        <v>35</v>
      </c>
      <c r="D320">
        <v>147.4</v>
      </c>
      <c r="E320">
        <v>197</v>
      </c>
      <c r="F320">
        <v>176.5</v>
      </c>
      <c r="G320">
        <v>159.80000000000001</v>
      </c>
      <c r="H320">
        <v>195.8</v>
      </c>
      <c r="I320">
        <v>152</v>
      </c>
      <c r="J320">
        <v>172.3</v>
      </c>
      <c r="K320">
        <v>164.5</v>
      </c>
      <c r="L320">
        <v>120.6</v>
      </c>
      <c r="M320">
        <v>171.7</v>
      </c>
      <c r="N320">
        <v>169.7</v>
      </c>
      <c r="O320">
        <v>175.1</v>
      </c>
      <c r="P320" s="1">
        <f t="shared" si="20"/>
        <v>1998.5</v>
      </c>
      <c r="Q320">
        <v>165.8</v>
      </c>
      <c r="R320">
        <v>190.8</v>
      </c>
      <c r="S320" s="1">
        <f t="shared" si="21"/>
        <v>687.8</v>
      </c>
      <c r="T320">
        <v>171.8</v>
      </c>
      <c r="U320">
        <v>167.3</v>
      </c>
      <c r="V320" s="1">
        <f t="shared" si="22"/>
        <v>510.3</v>
      </c>
      <c r="W320">
        <v>171.2</v>
      </c>
      <c r="X320">
        <v>163.4</v>
      </c>
      <c r="Y320" s="1">
        <f t="shared" si="23"/>
        <v>327.3</v>
      </c>
      <c r="Z320">
        <v>165.6</v>
      </c>
      <c r="AA320">
        <v>163.9</v>
      </c>
      <c r="AB320">
        <v>174</v>
      </c>
      <c r="AC320">
        <v>160.1</v>
      </c>
      <c r="AD320">
        <v>164.5</v>
      </c>
      <c r="AE320">
        <v>169.7</v>
      </c>
      <c r="AF320">
        <v>162.80000000000001</v>
      </c>
      <c r="AG320">
        <v>166</v>
      </c>
      <c r="AH320">
        <v>167</v>
      </c>
      <c r="AI320">
        <f>SUM('Cleaned Data'!AC320,'Cleaned Data'!AE320,'Cleaned Data'!Z320,'Cleaned Data'!AA320)</f>
        <v>659.3</v>
      </c>
      <c r="AJ320" s="1">
        <f t="shared" si="24"/>
        <v>164.82499999999999</v>
      </c>
    </row>
    <row r="321" spans="1:36">
      <c r="A321" t="s">
        <v>94</v>
      </c>
      <c r="B321">
        <v>2021</v>
      </c>
      <c r="C321" t="s">
        <v>35</v>
      </c>
      <c r="D321">
        <v>151.6</v>
      </c>
      <c r="E321">
        <v>202.2</v>
      </c>
      <c r="F321">
        <v>180</v>
      </c>
      <c r="G321">
        <v>160</v>
      </c>
      <c r="H321">
        <v>173.5</v>
      </c>
      <c r="I321">
        <v>158.30000000000001</v>
      </c>
      <c r="J321">
        <v>219.5</v>
      </c>
      <c r="K321">
        <v>164.2</v>
      </c>
      <c r="L321">
        <v>121.9</v>
      </c>
      <c r="M321">
        <v>168.2</v>
      </c>
      <c r="N321">
        <v>156.5</v>
      </c>
      <c r="O321">
        <v>178.2</v>
      </c>
      <c r="P321" s="1">
        <f t="shared" si="20"/>
        <v>2049.7999999999997</v>
      </c>
      <c r="Q321">
        <v>172.2</v>
      </c>
      <c r="R321">
        <v>196.8</v>
      </c>
      <c r="S321" s="1">
        <f t="shared" si="21"/>
        <v>673.3</v>
      </c>
      <c r="T321">
        <v>163.30000000000001</v>
      </c>
      <c r="U321">
        <v>146.69999999999999</v>
      </c>
      <c r="V321" s="1">
        <f t="shared" si="22"/>
        <v>470.7</v>
      </c>
      <c r="W321">
        <v>160.69999999999999</v>
      </c>
      <c r="X321">
        <v>163.4</v>
      </c>
      <c r="Y321" s="1">
        <f t="shared" si="23"/>
        <v>319.39999999999998</v>
      </c>
      <c r="Z321">
        <v>161.69999999999999</v>
      </c>
      <c r="AA321">
        <v>156</v>
      </c>
      <c r="AB321">
        <v>165.1</v>
      </c>
      <c r="AC321">
        <v>151.80000000000001</v>
      </c>
      <c r="AD321">
        <v>157.6</v>
      </c>
      <c r="AE321">
        <v>160.6</v>
      </c>
      <c r="AF321">
        <v>162.4</v>
      </c>
      <c r="AG321">
        <v>157.80000000000001</v>
      </c>
      <c r="AH321">
        <v>165.2</v>
      </c>
      <c r="AI321">
        <f>SUM('Cleaned Data'!AC321,'Cleaned Data'!AE321,'Cleaned Data'!Z321,'Cleaned Data'!AA321)</f>
        <v>630.09999999999991</v>
      </c>
      <c r="AJ321" s="1">
        <f t="shared" si="24"/>
        <v>157.52499999999998</v>
      </c>
    </row>
    <row r="322" spans="1:36">
      <c r="A322" t="s">
        <v>6</v>
      </c>
      <c r="B322">
        <v>2021</v>
      </c>
      <c r="C322" t="s">
        <v>35</v>
      </c>
      <c r="D322">
        <v>148.69999999999999</v>
      </c>
      <c r="E322">
        <v>198.8</v>
      </c>
      <c r="F322">
        <v>177.9</v>
      </c>
      <c r="G322">
        <v>159.9</v>
      </c>
      <c r="H322">
        <v>187.6</v>
      </c>
      <c r="I322">
        <v>154.9</v>
      </c>
      <c r="J322">
        <v>188.3</v>
      </c>
      <c r="K322">
        <v>164.4</v>
      </c>
      <c r="L322">
        <v>121</v>
      </c>
      <c r="M322">
        <v>170.5</v>
      </c>
      <c r="N322">
        <v>164.2</v>
      </c>
      <c r="O322">
        <v>176.5</v>
      </c>
      <c r="P322" s="1">
        <f t="shared" si="20"/>
        <v>2016.7000000000003</v>
      </c>
      <c r="Q322">
        <v>168.2</v>
      </c>
      <c r="R322">
        <v>192.4</v>
      </c>
      <c r="S322" s="1">
        <f t="shared" si="21"/>
        <v>679.80000000000007</v>
      </c>
      <c r="T322">
        <v>168.5</v>
      </c>
      <c r="U322">
        <v>158.69999999999999</v>
      </c>
      <c r="V322" s="1">
        <f t="shared" si="22"/>
        <v>494.2</v>
      </c>
      <c r="W322">
        <v>167</v>
      </c>
      <c r="X322">
        <v>163.4</v>
      </c>
      <c r="Y322" s="1">
        <f t="shared" si="23"/>
        <v>323.60000000000002</v>
      </c>
      <c r="Z322">
        <v>164.1</v>
      </c>
      <c r="AA322">
        <v>160.19999999999999</v>
      </c>
      <c r="AB322">
        <v>170.6</v>
      </c>
      <c r="AC322">
        <v>155.69999999999999</v>
      </c>
      <c r="AD322">
        <v>160.6</v>
      </c>
      <c r="AE322">
        <v>164.4</v>
      </c>
      <c r="AF322">
        <v>162.6</v>
      </c>
      <c r="AG322">
        <v>162</v>
      </c>
      <c r="AH322">
        <v>166.2</v>
      </c>
      <c r="AI322">
        <f>SUM('Cleaned Data'!AC322,'Cleaned Data'!AE322,'Cleaned Data'!Z322,'Cleaned Data'!AA322)</f>
        <v>644.40000000000009</v>
      </c>
      <c r="AJ322" s="1">
        <f t="shared" si="24"/>
        <v>161.1</v>
      </c>
    </row>
    <row r="323" spans="1:36">
      <c r="A323" t="s">
        <v>93</v>
      </c>
      <c r="B323">
        <v>2022</v>
      </c>
      <c r="C323" t="s">
        <v>11</v>
      </c>
      <c r="D323">
        <v>148.30000000000001</v>
      </c>
      <c r="E323">
        <v>196.9</v>
      </c>
      <c r="F323">
        <v>178</v>
      </c>
      <c r="G323">
        <v>160.5</v>
      </c>
      <c r="H323">
        <v>192.6</v>
      </c>
      <c r="I323">
        <v>151.19999999999999</v>
      </c>
      <c r="J323">
        <v>159.19999999999999</v>
      </c>
      <c r="K323">
        <v>164</v>
      </c>
      <c r="L323">
        <v>119.3</v>
      </c>
      <c r="M323">
        <v>173.3</v>
      </c>
      <c r="N323">
        <v>169.8</v>
      </c>
      <c r="O323">
        <v>175.8</v>
      </c>
      <c r="P323" s="1">
        <f t="shared" ref="P323:P373" si="25">SUM(O323,M323,L323,K323,J323,I323,H323,G323,F323,E323,D323,Q323)</f>
        <v>1983.2</v>
      </c>
      <c r="Q323">
        <v>164.1</v>
      </c>
      <c r="R323">
        <v>190.7</v>
      </c>
      <c r="S323" s="1">
        <f t="shared" ref="S323:S373" si="26">SUM(R323,N323,AD323,AF323)</f>
        <v>688.59999999999991</v>
      </c>
      <c r="T323">
        <v>173.2</v>
      </c>
      <c r="U323">
        <v>169.3</v>
      </c>
      <c r="V323" s="1">
        <f t="shared" ref="V323:V373" si="27">SUM(U323,T323,W323)</f>
        <v>515.20000000000005</v>
      </c>
      <c r="W323">
        <v>172.7</v>
      </c>
      <c r="X323">
        <v>164.5</v>
      </c>
      <c r="Y323" s="1">
        <f t="shared" ref="Y323:Y373" si="28">SUM(X323,AA323)</f>
        <v>329.4</v>
      </c>
      <c r="Z323">
        <v>165.8</v>
      </c>
      <c r="AA323">
        <v>164.9</v>
      </c>
      <c r="AB323">
        <v>174.7</v>
      </c>
      <c r="AC323">
        <v>160.80000000000001</v>
      </c>
      <c r="AD323">
        <v>164.9</v>
      </c>
      <c r="AE323">
        <v>169.9</v>
      </c>
      <c r="AF323">
        <v>163.19999999999999</v>
      </c>
      <c r="AG323">
        <v>166.6</v>
      </c>
      <c r="AH323">
        <v>166.4</v>
      </c>
      <c r="AI323">
        <f>SUM('Cleaned Data'!AC323,'Cleaned Data'!AE323,'Cleaned Data'!Z323,'Cleaned Data'!AA323)</f>
        <v>661.40000000000009</v>
      </c>
      <c r="AJ323" s="1">
        <f t="shared" ref="AJ323:AJ373" si="29">AVERAGE(AE323,AC323,AA323,Z323)</f>
        <v>165.35000000000002</v>
      </c>
    </row>
    <row r="324" spans="1:36">
      <c r="A324" t="s">
        <v>94</v>
      </c>
      <c r="B324">
        <v>2022</v>
      </c>
      <c r="C324" t="s">
        <v>11</v>
      </c>
      <c r="D324">
        <v>152.19999999999999</v>
      </c>
      <c r="E324">
        <v>202.1</v>
      </c>
      <c r="F324">
        <v>180.1</v>
      </c>
      <c r="G324">
        <v>160.4</v>
      </c>
      <c r="H324">
        <v>171</v>
      </c>
      <c r="I324">
        <v>156.5</v>
      </c>
      <c r="J324">
        <v>203.6</v>
      </c>
      <c r="K324">
        <v>163.80000000000001</v>
      </c>
      <c r="L324">
        <v>121.3</v>
      </c>
      <c r="M324">
        <v>169.8</v>
      </c>
      <c r="N324">
        <v>156.6</v>
      </c>
      <c r="O324">
        <v>179</v>
      </c>
      <c r="P324" s="1">
        <f t="shared" si="25"/>
        <v>2030.1</v>
      </c>
      <c r="Q324">
        <v>170.3</v>
      </c>
      <c r="R324">
        <v>196.4</v>
      </c>
      <c r="S324" s="1">
        <f t="shared" si="26"/>
        <v>674.2</v>
      </c>
      <c r="T324">
        <v>164.7</v>
      </c>
      <c r="U324">
        <v>148.5</v>
      </c>
      <c r="V324" s="1">
        <f t="shared" si="27"/>
        <v>475.4</v>
      </c>
      <c r="W324">
        <v>162.19999999999999</v>
      </c>
      <c r="X324">
        <v>164.5</v>
      </c>
      <c r="Y324" s="1">
        <f t="shared" si="28"/>
        <v>321.3</v>
      </c>
      <c r="Z324">
        <v>161.6</v>
      </c>
      <c r="AA324">
        <v>156.80000000000001</v>
      </c>
      <c r="AB324">
        <v>166.1</v>
      </c>
      <c r="AC324">
        <v>152.69999999999999</v>
      </c>
      <c r="AD324">
        <v>158.4</v>
      </c>
      <c r="AE324">
        <v>161</v>
      </c>
      <c r="AF324">
        <v>162.80000000000001</v>
      </c>
      <c r="AG324">
        <v>158.6</v>
      </c>
      <c r="AH324">
        <v>165</v>
      </c>
      <c r="AI324">
        <f>SUM('Cleaned Data'!AC324,'Cleaned Data'!AE324,'Cleaned Data'!Z324,'Cleaned Data'!AA324)</f>
        <v>632.09999999999991</v>
      </c>
      <c r="AJ324" s="1">
        <f t="shared" si="29"/>
        <v>158.02500000000001</v>
      </c>
    </row>
    <row r="325" spans="1:36">
      <c r="A325" t="s">
        <v>6</v>
      </c>
      <c r="B325">
        <v>2022</v>
      </c>
      <c r="C325" t="s">
        <v>11</v>
      </c>
      <c r="D325">
        <v>149.5</v>
      </c>
      <c r="E325">
        <v>198.7</v>
      </c>
      <c r="F325">
        <v>178.8</v>
      </c>
      <c r="G325">
        <v>160.5</v>
      </c>
      <c r="H325">
        <v>184.7</v>
      </c>
      <c r="I325">
        <v>153.69999999999999</v>
      </c>
      <c r="J325">
        <v>174.3</v>
      </c>
      <c r="K325">
        <v>163.9</v>
      </c>
      <c r="L325">
        <v>120</v>
      </c>
      <c r="M325">
        <v>172.1</v>
      </c>
      <c r="N325">
        <v>164.3</v>
      </c>
      <c r="O325">
        <v>177.3</v>
      </c>
      <c r="P325" s="1">
        <f t="shared" si="25"/>
        <v>1999.9</v>
      </c>
      <c r="Q325">
        <v>166.4</v>
      </c>
      <c r="R325">
        <v>192.2</v>
      </c>
      <c r="S325" s="1">
        <f t="shared" si="26"/>
        <v>680.7</v>
      </c>
      <c r="T325">
        <v>169.9</v>
      </c>
      <c r="U325">
        <v>160.69999999999999</v>
      </c>
      <c r="V325" s="1">
        <f t="shared" si="27"/>
        <v>499.1</v>
      </c>
      <c r="W325">
        <v>168.5</v>
      </c>
      <c r="X325">
        <v>164.5</v>
      </c>
      <c r="Y325" s="1">
        <f t="shared" si="28"/>
        <v>325.60000000000002</v>
      </c>
      <c r="Z325">
        <v>164.2</v>
      </c>
      <c r="AA325">
        <v>161.1</v>
      </c>
      <c r="AB325">
        <v>171.4</v>
      </c>
      <c r="AC325">
        <v>156.5</v>
      </c>
      <c r="AD325">
        <v>161.19999999999999</v>
      </c>
      <c r="AE325">
        <v>164.7</v>
      </c>
      <c r="AF325">
        <v>163</v>
      </c>
      <c r="AG325">
        <v>162.69999999999999</v>
      </c>
      <c r="AH325">
        <v>165.7</v>
      </c>
      <c r="AI325">
        <f>SUM('Cleaned Data'!AC325,'Cleaned Data'!AE325,'Cleaned Data'!Z325,'Cleaned Data'!AA325)</f>
        <v>646.5</v>
      </c>
      <c r="AJ325" s="1">
        <f t="shared" si="29"/>
        <v>161.625</v>
      </c>
    </row>
    <row r="326" spans="1:36">
      <c r="A326" t="s">
        <v>93</v>
      </c>
      <c r="B326">
        <v>2022</v>
      </c>
      <c r="C326" t="s">
        <v>14</v>
      </c>
      <c r="D326">
        <v>148.80000000000001</v>
      </c>
      <c r="E326">
        <v>198.1</v>
      </c>
      <c r="F326">
        <v>175.5</v>
      </c>
      <c r="G326">
        <v>160.69999999999999</v>
      </c>
      <c r="H326">
        <v>192.6</v>
      </c>
      <c r="I326">
        <v>151.4</v>
      </c>
      <c r="J326">
        <v>155.19999999999999</v>
      </c>
      <c r="K326">
        <v>163.9</v>
      </c>
      <c r="L326">
        <v>118.1</v>
      </c>
      <c r="M326">
        <v>175.4</v>
      </c>
      <c r="N326">
        <v>170.5</v>
      </c>
      <c r="O326">
        <v>176.3</v>
      </c>
      <c r="P326" s="1">
        <f t="shared" si="25"/>
        <v>1979.9</v>
      </c>
      <c r="Q326">
        <v>163.9</v>
      </c>
      <c r="R326">
        <v>191.5</v>
      </c>
      <c r="S326" s="1">
        <f t="shared" si="26"/>
        <v>692</v>
      </c>
      <c r="T326">
        <v>174.1</v>
      </c>
      <c r="U326">
        <v>171</v>
      </c>
      <c r="V326" s="1">
        <f t="shared" si="27"/>
        <v>518.79999999999995</v>
      </c>
      <c r="W326">
        <v>173.7</v>
      </c>
      <c r="X326">
        <v>165.5</v>
      </c>
      <c r="Y326" s="1">
        <f t="shared" si="28"/>
        <v>331.2</v>
      </c>
      <c r="Z326">
        <v>167.4</v>
      </c>
      <c r="AA326">
        <v>165.7</v>
      </c>
      <c r="AB326">
        <v>175.3</v>
      </c>
      <c r="AC326">
        <v>161.19999999999999</v>
      </c>
      <c r="AD326">
        <v>165.5</v>
      </c>
      <c r="AE326">
        <v>170.3</v>
      </c>
      <c r="AF326">
        <v>164.5</v>
      </c>
      <c r="AG326">
        <v>167.3</v>
      </c>
      <c r="AH326">
        <v>166.7</v>
      </c>
      <c r="AI326">
        <f>SUM('Cleaned Data'!AC326,'Cleaned Data'!AE326,'Cleaned Data'!Z326,'Cleaned Data'!AA326)</f>
        <v>664.59999999999991</v>
      </c>
      <c r="AJ326" s="1">
        <f t="shared" si="29"/>
        <v>166.15</v>
      </c>
    </row>
    <row r="327" spans="1:36">
      <c r="A327" t="s">
        <v>94</v>
      </c>
      <c r="B327">
        <v>2022</v>
      </c>
      <c r="C327" t="s">
        <v>14</v>
      </c>
      <c r="D327">
        <v>152.5</v>
      </c>
      <c r="E327">
        <v>205.2</v>
      </c>
      <c r="F327">
        <v>176.4</v>
      </c>
      <c r="G327">
        <v>160.6</v>
      </c>
      <c r="H327">
        <v>171.5</v>
      </c>
      <c r="I327">
        <v>156.4</v>
      </c>
      <c r="J327">
        <v>198</v>
      </c>
      <c r="K327">
        <v>163.19999999999999</v>
      </c>
      <c r="L327">
        <v>120.6</v>
      </c>
      <c r="M327">
        <v>172.2</v>
      </c>
      <c r="N327">
        <v>156.69999999999999</v>
      </c>
      <c r="O327">
        <v>180</v>
      </c>
      <c r="P327" s="1">
        <f t="shared" si="25"/>
        <v>2026.8000000000002</v>
      </c>
      <c r="Q327">
        <v>170.2</v>
      </c>
      <c r="R327">
        <v>196.5</v>
      </c>
      <c r="S327" s="1">
        <f t="shared" si="26"/>
        <v>676.90000000000009</v>
      </c>
      <c r="T327">
        <v>165.7</v>
      </c>
      <c r="U327">
        <v>150.4</v>
      </c>
      <c r="V327" s="1">
        <f t="shared" si="27"/>
        <v>479.5</v>
      </c>
      <c r="W327">
        <v>163.4</v>
      </c>
      <c r="X327">
        <v>165.5</v>
      </c>
      <c r="Y327" s="1">
        <f t="shared" si="28"/>
        <v>322.89999999999998</v>
      </c>
      <c r="Z327">
        <v>163</v>
      </c>
      <c r="AA327">
        <v>157.4</v>
      </c>
      <c r="AB327">
        <v>167.2</v>
      </c>
      <c r="AC327">
        <v>153.1</v>
      </c>
      <c r="AD327">
        <v>159.5</v>
      </c>
      <c r="AE327">
        <v>162</v>
      </c>
      <c r="AF327">
        <v>164.2</v>
      </c>
      <c r="AG327">
        <v>159.4</v>
      </c>
      <c r="AH327">
        <v>165.5</v>
      </c>
      <c r="AI327">
        <f>SUM('Cleaned Data'!AC327,'Cleaned Data'!AE327,'Cleaned Data'!Z327,'Cleaned Data'!AA327)</f>
        <v>635.5</v>
      </c>
      <c r="AJ327" s="1">
        <f t="shared" si="29"/>
        <v>158.875</v>
      </c>
    </row>
    <row r="328" spans="1:36">
      <c r="A328" t="s">
        <v>6</v>
      </c>
      <c r="B328">
        <v>2022</v>
      </c>
      <c r="C328" t="s">
        <v>14</v>
      </c>
      <c r="D328">
        <v>150</v>
      </c>
      <c r="E328">
        <v>200.6</v>
      </c>
      <c r="F328">
        <v>175.8</v>
      </c>
      <c r="G328">
        <v>160.69999999999999</v>
      </c>
      <c r="H328">
        <v>184.9</v>
      </c>
      <c r="I328">
        <v>153.69999999999999</v>
      </c>
      <c r="J328">
        <v>169.7</v>
      </c>
      <c r="K328">
        <v>163.69999999999999</v>
      </c>
      <c r="L328">
        <v>118.9</v>
      </c>
      <c r="M328">
        <v>174.3</v>
      </c>
      <c r="N328">
        <v>164.7</v>
      </c>
      <c r="O328">
        <v>178</v>
      </c>
      <c r="P328" s="1">
        <f t="shared" si="25"/>
        <v>1996.5000000000002</v>
      </c>
      <c r="Q328">
        <v>166.2</v>
      </c>
      <c r="R328">
        <v>192.8</v>
      </c>
      <c r="S328" s="1">
        <f t="shared" si="26"/>
        <v>684</v>
      </c>
      <c r="T328">
        <v>170.8</v>
      </c>
      <c r="U328">
        <v>162.4</v>
      </c>
      <c r="V328" s="1">
        <f t="shared" si="27"/>
        <v>502.80000000000007</v>
      </c>
      <c r="W328">
        <v>169.6</v>
      </c>
      <c r="X328">
        <v>165.5</v>
      </c>
      <c r="Y328" s="1">
        <f t="shared" si="28"/>
        <v>327.3</v>
      </c>
      <c r="Z328">
        <v>165.7</v>
      </c>
      <c r="AA328">
        <v>161.80000000000001</v>
      </c>
      <c r="AB328">
        <v>172.2</v>
      </c>
      <c r="AC328">
        <v>156.9</v>
      </c>
      <c r="AD328">
        <v>162.1</v>
      </c>
      <c r="AE328">
        <v>165.4</v>
      </c>
      <c r="AF328">
        <v>164.4</v>
      </c>
      <c r="AG328">
        <v>163.5</v>
      </c>
      <c r="AH328">
        <v>166.1</v>
      </c>
      <c r="AI328">
        <f>SUM('Cleaned Data'!AC328,'Cleaned Data'!AE328,'Cleaned Data'!Z328,'Cleaned Data'!AA328)</f>
        <v>649.79999999999995</v>
      </c>
      <c r="AJ328" s="1">
        <f t="shared" si="29"/>
        <v>162.44999999999999</v>
      </c>
    </row>
    <row r="329" spans="1:36">
      <c r="A329" t="s">
        <v>93</v>
      </c>
      <c r="B329">
        <v>2022</v>
      </c>
      <c r="C329" t="s">
        <v>17</v>
      </c>
      <c r="D329">
        <v>150.19999999999999</v>
      </c>
      <c r="E329">
        <v>208</v>
      </c>
      <c r="F329">
        <v>167.9</v>
      </c>
      <c r="G329">
        <v>162</v>
      </c>
      <c r="H329">
        <v>203.1</v>
      </c>
      <c r="I329">
        <v>155.9</v>
      </c>
      <c r="J329">
        <v>155.80000000000001</v>
      </c>
      <c r="K329">
        <v>164.2</v>
      </c>
      <c r="L329">
        <v>118.1</v>
      </c>
      <c r="M329">
        <v>178.7</v>
      </c>
      <c r="N329">
        <v>171.2</v>
      </c>
      <c r="O329">
        <v>177.4</v>
      </c>
      <c r="P329" s="1">
        <f t="shared" si="25"/>
        <v>2007.9</v>
      </c>
      <c r="Q329">
        <v>166.6</v>
      </c>
      <c r="R329">
        <v>192.3</v>
      </c>
      <c r="S329" s="1">
        <f t="shared" si="26"/>
        <v>697.5</v>
      </c>
      <c r="T329">
        <v>175.4</v>
      </c>
      <c r="U329">
        <v>173.2</v>
      </c>
      <c r="V329" s="1">
        <f t="shared" si="27"/>
        <v>523.70000000000005</v>
      </c>
      <c r="W329">
        <v>175.1</v>
      </c>
      <c r="X329">
        <v>165.3</v>
      </c>
      <c r="Y329" s="1">
        <f t="shared" si="28"/>
        <v>331.8</v>
      </c>
      <c r="Z329">
        <v>168.9</v>
      </c>
      <c r="AA329">
        <v>166.5</v>
      </c>
      <c r="AB329">
        <v>176</v>
      </c>
      <c r="AC329">
        <v>162</v>
      </c>
      <c r="AD329">
        <v>166.6</v>
      </c>
      <c r="AE329">
        <v>170.6</v>
      </c>
      <c r="AF329">
        <v>167.4</v>
      </c>
      <c r="AG329">
        <v>168.3</v>
      </c>
      <c r="AH329">
        <v>168.7</v>
      </c>
      <c r="AI329">
        <f>SUM('Cleaned Data'!AC329,'Cleaned Data'!AE329,'Cleaned Data'!Z329,'Cleaned Data'!AA329)</f>
        <v>668</v>
      </c>
      <c r="AJ329" s="1">
        <f t="shared" si="29"/>
        <v>167</v>
      </c>
    </row>
    <row r="330" spans="1:36">
      <c r="A330" t="s">
        <v>94</v>
      </c>
      <c r="B330">
        <v>2022</v>
      </c>
      <c r="C330" t="s">
        <v>17</v>
      </c>
      <c r="D330">
        <v>153.69999999999999</v>
      </c>
      <c r="E330">
        <v>215.8</v>
      </c>
      <c r="F330">
        <v>167.7</v>
      </c>
      <c r="G330">
        <v>162.6</v>
      </c>
      <c r="H330">
        <v>180</v>
      </c>
      <c r="I330">
        <v>159.6</v>
      </c>
      <c r="J330">
        <v>188.4</v>
      </c>
      <c r="K330">
        <v>163.4</v>
      </c>
      <c r="L330">
        <v>120.3</v>
      </c>
      <c r="M330">
        <v>174.7</v>
      </c>
      <c r="N330">
        <v>157.1</v>
      </c>
      <c r="O330">
        <v>181.5</v>
      </c>
      <c r="P330" s="1">
        <f t="shared" si="25"/>
        <v>2039.2</v>
      </c>
      <c r="Q330">
        <v>171.5</v>
      </c>
      <c r="R330">
        <v>197.5</v>
      </c>
      <c r="S330" s="1">
        <f t="shared" si="26"/>
        <v>682.2</v>
      </c>
      <c r="T330">
        <v>167.1</v>
      </c>
      <c r="U330">
        <v>152.6</v>
      </c>
      <c r="V330" s="1">
        <f t="shared" si="27"/>
        <v>484.6</v>
      </c>
      <c r="W330">
        <v>164.9</v>
      </c>
      <c r="X330">
        <v>165.3</v>
      </c>
      <c r="Y330" s="1">
        <f t="shared" si="28"/>
        <v>323.89999999999998</v>
      </c>
      <c r="Z330">
        <v>164.5</v>
      </c>
      <c r="AA330">
        <v>158.6</v>
      </c>
      <c r="AB330">
        <v>168.2</v>
      </c>
      <c r="AC330">
        <v>154.19999999999999</v>
      </c>
      <c r="AD330">
        <v>160.80000000000001</v>
      </c>
      <c r="AE330">
        <v>162.69999999999999</v>
      </c>
      <c r="AF330">
        <v>166.8</v>
      </c>
      <c r="AG330">
        <v>160.6</v>
      </c>
      <c r="AH330">
        <v>166.5</v>
      </c>
      <c r="AI330">
        <f>SUM('Cleaned Data'!AC330,'Cleaned Data'!AE330,'Cleaned Data'!Z330,'Cleaned Data'!AA330)</f>
        <v>640</v>
      </c>
      <c r="AJ330" s="1">
        <f t="shared" si="29"/>
        <v>160</v>
      </c>
    </row>
    <row r="331" spans="1:36">
      <c r="A331" t="s">
        <v>6</v>
      </c>
      <c r="B331">
        <v>2022</v>
      </c>
      <c r="C331" t="s">
        <v>17</v>
      </c>
      <c r="D331">
        <v>151.30000000000001</v>
      </c>
      <c r="E331">
        <v>210.7</v>
      </c>
      <c r="F331">
        <v>167.8</v>
      </c>
      <c r="G331">
        <v>162.19999999999999</v>
      </c>
      <c r="H331">
        <v>194.6</v>
      </c>
      <c r="I331">
        <v>157.6</v>
      </c>
      <c r="J331">
        <v>166.9</v>
      </c>
      <c r="K331">
        <v>163.9</v>
      </c>
      <c r="L331">
        <v>118.8</v>
      </c>
      <c r="M331">
        <v>177.4</v>
      </c>
      <c r="N331">
        <v>165.3</v>
      </c>
      <c r="O331">
        <v>179.3</v>
      </c>
      <c r="P331" s="1">
        <f t="shared" si="25"/>
        <v>2018.9</v>
      </c>
      <c r="Q331">
        <v>168.4</v>
      </c>
      <c r="R331">
        <v>193.7</v>
      </c>
      <c r="S331" s="1">
        <f t="shared" si="26"/>
        <v>689.5</v>
      </c>
      <c r="T331">
        <v>172.1</v>
      </c>
      <c r="U331">
        <v>164.6</v>
      </c>
      <c r="V331" s="1">
        <f t="shared" si="27"/>
        <v>507.79999999999995</v>
      </c>
      <c r="W331">
        <v>171.1</v>
      </c>
      <c r="X331">
        <v>165.3</v>
      </c>
      <c r="Y331" s="1">
        <f t="shared" si="28"/>
        <v>328.1</v>
      </c>
      <c r="Z331">
        <v>167.2</v>
      </c>
      <c r="AA331">
        <v>162.80000000000001</v>
      </c>
      <c r="AB331">
        <v>173</v>
      </c>
      <c r="AC331">
        <v>157.9</v>
      </c>
      <c r="AD331">
        <v>163.30000000000001</v>
      </c>
      <c r="AE331">
        <v>166</v>
      </c>
      <c r="AF331">
        <v>167.2</v>
      </c>
      <c r="AG331">
        <v>164.6</v>
      </c>
      <c r="AH331">
        <v>167.7</v>
      </c>
      <c r="AI331">
        <f>SUM('Cleaned Data'!AC331,'Cleaned Data'!AE331,'Cleaned Data'!Z331,'Cleaned Data'!AA331)</f>
        <v>653.9</v>
      </c>
      <c r="AJ331" s="1">
        <f t="shared" si="29"/>
        <v>163.47499999999999</v>
      </c>
    </row>
    <row r="332" spans="1:36">
      <c r="A332" t="s">
        <v>93</v>
      </c>
      <c r="B332">
        <v>2022</v>
      </c>
      <c r="C332" t="s">
        <v>19</v>
      </c>
      <c r="D332">
        <v>151.80000000000001</v>
      </c>
      <c r="E332">
        <v>209.7</v>
      </c>
      <c r="F332">
        <v>164.5</v>
      </c>
      <c r="G332">
        <v>163.80000000000001</v>
      </c>
      <c r="H332">
        <v>207.4</v>
      </c>
      <c r="I332">
        <v>169.7</v>
      </c>
      <c r="J332">
        <v>153.6</v>
      </c>
      <c r="K332">
        <v>165.1</v>
      </c>
      <c r="L332">
        <v>118.2</v>
      </c>
      <c r="M332">
        <v>182.9</v>
      </c>
      <c r="N332">
        <v>172.4</v>
      </c>
      <c r="O332">
        <v>178.9</v>
      </c>
      <c r="P332" s="1">
        <f t="shared" si="25"/>
        <v>2034.2</v>
      </c>
      <c r="Q332">
        <v>168.6</v>
      </c>
      <c r="R332">
        <v>192.8</v>
      </c>
      <c r="S332" s="1">
        <f t="shared" si="26"/>
        <v>701.40000000000009</v>
      </c>
      <c r="T332">
        <v>177.5</v>
      </c>
      <c r="U332">
        <v>175.1</v>
      </c>
      <c r="V332" s="1">
        <f t="shared" si="27"/>
        <v>529.70000000000005</v>
      </c>
      <c r="W332">
        <v>177.1</v>
      </c>
      <c r="X332">
        <v>167</v>
      </c>
      <c r="Y332" s="1">
        <f t="shared" si="28"/>
        <v>334.7</v>
      </c>
      <c r="Z332">
        <v>173.3</v>
      </c>
      <c r="AA332">
        <v>167.7</v>
      </c>
      <c r="AB332">
        <v>177</v>
      </c>
      <c r="AC332">
        <v>166.2</v>
      </c>
      <c r="AD332">
        <v>167.2</v>
      </c>
      <c r="AE332">
        <v>170.9</v>
      </c>
      <c r="AF332">
        <v>169</v>
      </c>
      <c r="AG332">
        <v>170.2</v>
      </c>
      <c r="AH332">
        <v>170.8</v>
      </c>
      <c r="AI332">
        <f>SUM('Cleaned Data'!AC332,'Cleaned Data'!AE332,'Cleaned Data'!Z332,'Cleaned Data'!AA332)</f>
        <v>678.1</v>
      </c>
      <c r="AJ332" s="1">
        <f t="shared" si="29"/>
        <v>169.52500000000001</v>
      </c>
    </row>
    <row r="333" spans="1:36">
      <c r="A333" t="s">
        <v>94</v>
      </c>
      <c r="B333">
        <v>2022</v>
      </c>
      <c r="C333" t="s">
        <v>19</v>
      </c>
      <c r="D333">
        <v>155.4</v>
      </c>
      <c r="E333">
        <v>215.8</v>
      </c>
      <c r="F333">
        <v>164.6</v>
      </c>
      <c r="G333">
        <v>164.2</v>
      </c>
      <c r="H333">
        <v>186</v>
      </c>
      <c r="I333">
        <v>175.9</v>
      </c>
      <c r="J333">
        <v>190.7</v>
      </c>
      <c r="K333">
        <v>164</v>
      </c>
      <c r="L333">
        <v>120.5</v>
      </c>
      <c r="M333">
        <v>178</v>
      </c>
      <c r="N333">
        <v>157.5</v>
      </c>
      <c r="O333">
        <v>183.3</v>
      </c>
      <c r="P333" s="1">
        <f t="shared" si="25"/>
        <v>2072.9</v>
      </c>
      <c r="Q333">
        <v>174.5</v>
      </c>
      <c r="R333">
        <v>197.1</v>
      </c>
      <c r="S333" s="1">
        <f t="shared" si="26"/>
        <v>685.19999999999993</v>
      </c>
      <c r="T333">
        <v>168.4</v>
      </c>
      <c r="U333">
        <v>154.5</v>
      </c>
      <c r="V333" s="1">
        <f t="shared" si="27"/>
        <v>489.2</v>
      </c>
      <c r="W333">
        <v>166.3</v>
      </c>
      <c r="X333">
        <v>167</v>
      </c>
      <c r="Y333" s="1">
        <f t="shared" si="28"/>
        <v>326.8</v>
      </c>
      <c r="Z333">
        <v>170.5</v>
      </c>
      <c r="AA333">
        <v>159.80000000000001</v>
      </c>
      <c r="AB333">
        <v>169</v>
      </c>
      <c r="AC333">
        <v>159.30000000000001</v>
      </c>
      <c r="AD333">
        <v>162.19999999999999</v>
      </c>
      <c r="AE333">
        <v>164</v>
      </c>
      <c r="AF333">
        <v>168.4</v>
      </c>
      <c r="AG333">
        <v>163.1</v>
      </c>
      <c r="AH333">
        <v>169.2</v>
      </c>
      <c r="AI333">
        <f>SUM('Cleaned Data'!AC333,'Cleaned Data'!AE333,'Cleaned Data'!Z333,'Cleaned Data'!AA333)</f>
        <v>653.6</v>
      </c>
      <c r="AJ333" s="1">
        <f t="shared" si="29"/>
        <v>163.4</v>
      </c>
    </row>
    <row r="334" spans="1:36">
      <c r="A334" t="s">
        <v>6</v>
      </c>
      <c r="B334">
        <v>2022</v>
      </c>
      <c r="C334" t="s">
        <v>19</v>
      </c>
      <c r="D334">
        <v>152.9</v>
      </c>
      <c r="E334">
        <v>211.8</v>
      </c>
      <c r="F334">
        <v>164.5</v>
      </c>
      <c r="G334">
        <v>163.9</v>
      </c>
      <c r="H334">
        <v>199.5</v>
      </c>
      <c r="I334">
        <v>172.6</v>
      </c>
      <c r="J334">
        <v>166.2</v>
      </c>
      <c r="K334">
        <v>164.7</v>
      </c>
      <c r="L334">
        <v>119</v>
      </c>
      <c r="M334">
        <v>181.3</v>
      </c>
      <c r="N334">
        <v>166.2</v>
      </c>
      <c r="O334">
        <v>180.9</v>
      </c>
      <c r="P334" s="1">
        <f t="shared" si="25"/>
        <v>2048.1000000000004</v>
      </c>
      <c r="Q334">
        <v>170.8</v>
      </c>
      <c r="R334">
        <v>193.9</v>
      </c>
      <c r="S334" s="1">
        <f t="shared" si="26"/>
        <v>693.3</v>
      </c>
      <c r="T334">
        <v>173.9</v>
      </c>
      <c r="U334">
        <v>166.5</v>
      </c>
      <c r="V334" s="1">
        <f t="shared" si="27"/>
        <v>513.20000000000005</v>
      </c>
      <c r="W334">
        <v>172.8</v>
      </c>
      <c r="X334">
        <v>167</v>
      </c>
      <c r="Y334" s="1">
        <f t="shared" si="28"/>
        <v>331</v>
      </c>
      <c r="Z334">
        <v>172.2</v>
      </c>
      <c r="AA334">
        <v>164</v>
      </c>
      <c r="AB334">
        <v>174</v>
      </c>
      <c r="AC334">
        <v>162.6</v>
      </c>
      <c r="AD334">
        <v>164.4</v>
      </c>
      <c r="AE334">
        <v>166.9</v>
      </c>
      <c r="AF334">
        <v>168.8</v>
      </c>
      <c r="AG334">
        <v>166.8</v>
      </c>
      <c r="AH334">
        <v>170.1</v>
      </c>
      <c r="AI334">
        <f>SUM('Cleaned Data'!AC334,'Cleaned Data'!AE334,'Cleaned Data'!Z334,'Cleaned Data'!AA334)</f>
        <v>665.7</v>
      </c>
      <c r="AJ334" s="1">
        <f t="shared" si="29"/>
        <v>166.42500000000001</v>
      </c>
    </row>
    <row r="335" spans="1:36">
      <c r="A335" t="s">
        <v>93</v>
      </c>
      <c r="B335">
        <v>2022</v>
      </c>
      <c r="C335" t="s">
        <v>21</v>
      </c>
      <c r="D335">
        <v>152.9</v>
      </c>
      <c r="E335">
        <v>214.7</v>
      </c>
      <c r="F335">
        <v>161.4</v>
      </c>
      <c r="G335">
        <v>164.6</v>
      </c>
      <c r="H335">
        <v>209.9</v>
      </c>
      <c r="I335">
        <v>168</v>
      </c>
      <c r="J335">
        <v>160.4</v>
      </c>
      <c r="K335">
        <v>165</v>
      </c>
      <c r="L335">
        <v>118.9</v>
      </c>
      <c r="M335">
        <v>186.6</v>
      </c>
      <c r="N335">
        <v>173.2</v>
      </c>
      <c r="O335">
        <v>180.4</v>
      </c>
      <c r="P335" s="1">
        <f t="shared" si="25"/>
        <v>2053.6000000000004</v>
      </c>
      <c r="Q335">
        <v>170.8</v>
      </c>
      <c r="R335">
        <v>192.9</v>
      </c>
      <c r="S335" s="1">
        <f t="shared" si="26"/>
        <v>702.2</v>
      </c>
      <c r="T335">
        <v>179.3</v>
      </c>
      <c r="U335">
        <v>177.2</v>
      </c>
      <c r="V335" s="1">
        <f t="shared" si="27"/>
        <v>535.5</v>
      </c>
      <c r="W335">
        <v>179</v>
      </c>
      <c r="X335">
        <v>167.5</v>
      </c>
      <c r="Y335" s="1">
        <f t="shared" si="28"/>
        <v>336.4</v>
      </c>
      <c r="Z335">
        <v>175.3</v>
      </c>
      <c r="AA335">
        <v>168.9</v>
      </c>
      <c r="AB335">
        <v>177.7</v>
      </c>
      <c r="AC335">
        <v>167.1</v>
      </c>
      <c r="AD335">
        <v>167.6</v>
      </c>
      <c r="AE335">
        <v>171.8</v>
      </c>
      <c r="AF335">
        <v>168.5</v>
      </c>
      <c r="AG335">
        <v>170.9</v>
      </c>
      <c r="AH335">
        <v>172.5</v>
      </c>
      <c r="AI335">
        <f>SUM('Cleaned Data'!AC335,'Cleaned Data'!AE335,'Cleaned Data'!Z335,'Cleaned Data'!AA335)</f>
        <v>683.1</v>
      </c>
      <c r="AJ335" s="1">
        <f t="shared" si="29"/>
        <v>170.77499999999998</v>
      </c>
    </row>
    <row r="336" spans="1:36">
      <c r="A336" t="s">
        <v>94</v>
      </c>
      <c r="B336">
        <v>2022</v>
      </c>
      <c r="C336" t="s">
        <v>21</v>
      </c>
      <c r="D336">
        <v>156.69999999999999</v>
      </c>
      <c r="E336">
        <v>221.2</v>
      </c>
      <c r="F336">
        <v>164.1</v>
      </c>
      <c r="G336">
        <v>165.4</v>
      </c>
      <c r="H336">
        <v>189.5</v>
      </c>
      <c r="I336">
        <v>174.5</v>
      </c>
      <c r="J336">
        <v>203.2</v>
      </c>
      <c r="K336">
        <v>164.1</v>
      </c>
      <c r="L336">
        <v>121.2</v>
      </c>
      <c r="M336">
        <v>181.4</v>
      </c>
      <c r="N336">
        <v>158.5</v>
      </c>
      <c r="O336">
        <v>184.9</v>
      </c>
      <c r="P336" s="1">
        <f t="shared" si="25"/>
        <v>2103.6999999999998</v>
      </c>
      <c r="Q336">
        <v>177.5</v>
      </c>
      <c r="R336">
        <v>197.5</v>
      </c>
      <c r="S336" s="1">
        <f t="shared" si="26"/>
        <v>687.40000000000009</v>
      </c>
      <c r="T336">
        <v>170</v>
      </c>
      <c r="U336">
        <v>155.9</v>
      </c>
      <c r="V336" s="1">
        <f t="shared" si="27"/>
        <v>493.7</v>
      </c>
      <c r="W336">
        <v>167.8</v>
      </c>
      <c r="X336">
        <v>167.5</v>
      </c>
      <c r="Y336" s="1">
        <f t="shared" si="28"/>
        <v>328.6</v>
      </c>
      <c r="Z336">
        <v>173.5</v>
      </c>
      <c r="AA336">
        <v>161.1</v>
      </c>
      <c r="AB336">
        <v>170.1</v>
      </c>
      <c r="AC336">
        <v>159.4</v>
      </c>
      <c r="AD336">
        <v>163.19999999999999</v>
      </c>
      <c r="AE336">
        <v>165.2</v>
      </c>
      <c r="AF336">
        <v>168.2</v>
      </c>
      <c r="AG336">
        <v>163.80000000000001</v>
      </c>
      <c r="AH336">
        <v>170.8</v>
      </c>
      <c r="AI336">
        <f>SUM('Cleaned Data'!AC336,'Cleaned Data'!AE336,'Cleaned Data'!Z336,'Cleaned Data'!AA336)</f>
        <v>659.2</v>
      </c>
      <c r="AJ336" s="1">
        <f t="shared" si="29"/>
        <v>164.8</v>
      </c>
    </row>
    <row r="337" spans="1:36">
      <c r="A337" t="s">
        <v>6</v>
      </c>
      <c r="B337">
        <v>2022</v>
      </c>
      <c r="C337" t="s">
        <v>21</v>
      </c>
      <c r="D337">
        <v>154.1</v>
      </c>
      <c r="E337">
        <v>217</v>
      </c>
      <c r="F337">
        <v>162.4</v>
      </c>
      <c r="G337">
        <v>164.9</v>
      </c>
      <c r="H337">
        <v>202.4</v>
      </c>
      <c r="I337">
        <v>171</v>
      </c>
      <c r="J337">
        <v>174.9</v>
      </c>
      <c r="K337">
        <v>164.7</v>
      </c>
      <c r="L337">
        <v>119.7</v>
      </c>
      <c r="M337">
        <v>184.9</v>
      </c>
      <c r="N337">
        <v>167.1</v>
      </c>
      <c r="O337">
        <v>182.5</v>
      </c>
      <c r="P337" s="1">
        <f t="shared" si="25"/>
        <v>2071.8000000000002</v>
      </c>
      <c r="Q337">
        <v>173.3</v>
      </c>
      <c r="R337">
        <v>194.1</v>
      </c>
      <c r="S337" s="1">
        <f t="shared" si="26"/>
        <v>694.69999999999993</v>
      </c>
      <c r="T337">
        <v>175.6</v>
      </c>
      <c r="U337">
        <v>168.4</v>
      </c>
      <c r="V337" s="1">
        <f t="shared" si="27"/>
        <v>518.6</v>
      </c>
      <c r="W337">
        <v>174.6</v>
      </c>
      <c r="X337">
        <v>167.5</v>
      </c>
      <c r="Y337" s="1">
        <f t="shared" si="28"/>
        <v>332.7</v>
      </c>
      <c r="Z337">
        <v>174.6</v>
      </c>
      <c r="AA337">
        <v>165.2</v>
      </c>
      <c r="AB337">
        <v>174.8</v>
      </c>
      <c r="AC337">
        <v>163</v>
      </c>
      <c r="AD337">
        <v>165.1</v>
      </c>
      <c r="AE337">
        <v>167.9</v>
      </c>
      <c r="AF337">
        <v>168.4</v>
      </c>
      <c r="AG337">
        <v>167.5</v>
      </c>
      <c r="AH337">
        <v>171.7</v>
      </c>
      <c r="AI337">
        <f>SUM('Cleaned Data'!AC337,'Cleaned Data'!AE337,'Cleaned Data'!Z337,'Cleaned Data'!AA337)</f>
        <v>670.7</v>
      </c>
      <c r="AJ337" s="1">
        <f t="shared" si="29"/>
        <v>167.67499999999998</v>
      </c>
    </row>
    <row r="338" spans="1:36">
      <c r="A338" t="s">
        <v>93</v>
      </c>
      <c r="B338">
        <v>2022</v>
      </c>
      <c r="C338" t="s">
        <v>23</v>
      </c>
      <c r="D338">
        <v>153.80000000000001</v>
      </c>
      <c r="E338">
        <v>217.2</v>
      </c>
      <c r="F338">
        <v>169.6</v>
      </c>
      <c r="G338">
        <v>165.4</v>
      </c>
      <c r="H338">
        <v>208.1</v>
      </c>
      <c r="I338">
        <v>165.8</v>
      </c>
      <c r="J338">
        <v>167.3</v>
      </c>
      <c r="K338">
        <v>164.6</v>
      </c>
      <c r="L338">
        <v>119.1</v>
      </c>
      <c r="M338">
        <v>188.9</v>
      </c>
      <c r="N338">
        <v>174.2</v>
      </c>
      <c r="O338">
        <v>181.9</v>
      </c>
      <c r="P338" s="1">
        <f t="shared" si="25"/>
        <v>2074.1</v>
      </c>
      <c r="Q338">
        <v>172.4</v>
      </c>
      <c r="R338">
        <v>192.9</v>
      </c>
      <c r="S338" s="1">
        <f t="shared" si="26"/>
        <v>704.6</v>
      </c>
      <c r="T338">
        <v>180.7</v>
      </c>
      <c r="U338">
        <v>178.7</v>
      </c>
      <c r="V338" s="1">
        <f t="shared" si="27"/>
        <v>539.79999999999995</v>
      </c>
      <c r="W338">
        <v>180.4</v>
      </c>
      <c r="X338">
        <v>166.8</v>
      </c>
      <c r="Y338" s="1">
        <f t="shared" si="28"/>
        <v>337.1</v>
      </c>
      <c r="Z338">
        <v>176.7</v>
      </c>
      <c r="AA338">
        <v>170.3</v>
      </c>
      <c r="AB338">
        <v>178.2</v>
      </c>
      <c r="AC338">
        <v>165.5</v>
      </c>
      <c r="AD338">
        <v>168</v>
      </c>
      <c r="AE338">
        <v>172.6</v>
      </c>
      <c r="AF338">
        <v>169.5</v>
      </c>
      <c r="AG338">
        <v>171</v>
      </c>
      <c r="AH338">
        <v>173.6</v>
      </c>
      <c r="AI338">
        <f>SUM('Cleaned Data'!AC338,'Cleaned Data'!AE338,'Cleaned Data'!Z338,'Cleaned Data'!AA338)</f>
        <v>685.09999999999991</v>
      </c>
      <c r="AJ338" s="1">
        <f t="shared" si="29"/>
        <v>171.27500000000001</v>
      </c>
    </row>
    <row r="339" spans="1:36">
      <c r="A339" t="s">
        <v>94</v>
      </c>
      <c r="B339">
        <v>2022</v>
      </c>
      <c r="C339" t="s">
        <v>23</v>
      </c>
      <c r="D339">
        <v>157.5</v>
      </c>
      <c r="E339">
        <v>223.4</v>
      </c>
      <c r="F339">
        <v>172.8</v>
      </c>
      <c r="G339">
        <v>166.4</v>
      </c>
      <c r="H339">
        <v>188.6</v>
      </c>
      <c r="I339">
        <v>174.1</v>
      </c>
      <c r="J339">
        <v>211.5</v>
      </c>
      <c r="K339">
        <v>163.6</v>
      </c>
      <c r="L339">
        <v>121.4</v>
      </c>
      <c r="M339">
        <v>183.5</v>
      </c>
      <c r="N339">
        <v>159.1</v>
      </c>
      <c r="O339">
        <v>186.3</v>
      </c>
      <c r="P339" s="1">
        <f t="shared" si="25"/>
        <v>2128.4</v>
      </c>
      <c r="Q339">
        <v>179.3</v>
      </c>
      <c r="R339">
        <v>198.3</v>
      </c>
      <c r="S339" s="1">
        <f t="shared" si="26"/>
        <v>690.7</v>
      </c>
      <c r="T339">
        <v>171.6</v>
      </c>
      <c r="U339">
        <v>157.4</v>
      </c>
      <c r="V339" s="1">
        <f t="shared" si="27"/>
        <v>498.4</v>
      </c>
      <c r="W339">
        <v>169.4</v>
      </c>
      <c r="X339">
        <v>166.8</v>
      </c>
      <c r="Y339" s="1">
        <f t="shared" si="28"/>
        <v>328.9</v>
      </c>
      <c r="Z339">
        <v>174.9</v>
      </c>
      <c r="AA339">
        <v>162.1</v>
      </c>
      <c r="AB339">
        <v>170.9</v>
      </c>
      <c r="AC339">
        <v>157.19999999999999</v>
      </c>
      <c r="AD339">
        <v>164.1</v>
      </c>
      <c r="AE339">
        <v>166.5</v>
      </c>
      <c r="AF339">
        <v>169.2</v>
      </c>
      <c r="AG339">
        <v>163.80000000000001</v>
      </c>
      <c r="AH339">
        <v>171.4</v>
      </c>
      <c r="AI339">
        <f>SUM('Cleaned Data'!AC339,'Cleaned Data'!AE339,'Cleaned Data'!Z339,'Cleaned Data'!AA339)</f>
        <v>660.7</v>
      </c>
      <c r="AJ339" s="1">
        <f t="shared" si="29"/>
        <v>165.17499999999998</v>
      </c>
    </row>
    <row r="340" spans="1:36">
      <c r="A340" t="s">
        <v>6</v>
      </c>
      <c r="B340">
        <v>2022</v>
      </c>
      <c r="C340" t="s">
        <v>23</v>
      </c>
      <c r="D340">
        <v>155</v>
      </c>
      <c r="E340">
        <v>219.4</v>
      </c>
      <c r="F340">
        <v>170.8</v>
      </c>
      <c r="G340">
        <v>165.8</v>
      </c>
      <c r="H340">
        <v>200.9</v>
      </c>
      <c r="I340">
        <v>169.7</v>
      </c>
      <c r="J340">
        <v>182.3</v>
      </c>
      <c r="K340">
        <v>164.3</v>
      </c>
      <c r="L340">
        <v>119.9</v>
      </c>
      <c r="M340">
        <v>187.1</v>
      </c>
      <c r="N340">
        <v>167.9</v>
      </c>
      <c r="O340">
        <v>183.9</v>
      </c>
      <c r="P340" s="1">
        <f t="shared" si="25"/>
        <v>2094</v>
      </c>
      <c r="Q340">
        <v>174.9</v>
      </c>
      <c r="R340">
        <v>194.3</v>
      </c>
      <c r="S340" s="1">
        <f t="shared" si="26"/>
        <v>697.4</v>
      </c>
      <c r="T340">
        <v>177.1</v>
      </c>
      <c r="U340">
        <v>169.9</v>
      </c>
      <c r="V340" s="1">
        <f t="shared" si="27"/>
        <v>523</v>
      </c>
      <c r="W340">
        <v>176</v>
      </c>
      <c r="X340">
        <v>166.8</v>
      </c>
      <c r="Y340" s="1">
        <f t="shared" si="28"/>
        <v>333.20000000000005</v>
      </c>
      <c r="Z340">
        <v>176</v>
      </c>
      <c r="AA340">
        <v>166.4</v>
      </c>
      <c r="AB340">
        <v>175.4</v>
      </c>
      <c r="AC340">
        <v>161.1</v>
      </c>
      <c r="AD340">
        <v>165.8</v>
      </c>
      <c r="AE340">
        <v>169</v>
      </c>
      <c r="AF340">
        <v>169.4</v>
      </c>
      <c r="AG340">
        <v>167.5</v>
      </c>
      <c r="AH340">
        <v>172.6</v>
      </c>
      <c r="AI340">
        <f>SUM('Cleaned Data'!AC340,'Cleaned Data'!AE340,'Cleaned Data'!Z340,'Cleaned Data'!AA340)</f>
        <v>672.5</v>
      </c>
      <c r="AJ340" s="1">
        <f t="shared" si="29"/>
        <v>168.125</v>
      </c>
    </row>
    <row r="341" spans="1:36">
      <c r="A341" t="s">
        <v>93</v>
      </c>
      <c r="B341">
        <v>2022</v>
      </c>
      <c r="C341" t="s">
        <v>25</v>
      </c>
      <c r="D341">
        <v>155.19999999999999</v>
      </c>
      <c r="E341">
        <v>210.8</v>
      </c>
      <c r="F341">
        <v>174.3</v>
      </c>
      <c r="G341">
        <v>166.3</v>
      </c>
      <c r="H341">
        <v>202.2</v>
      </c>
      <c r="I341">
        <v>169.6</v>
      </c>
      <c r="J341">
        <v>168.6</v>
      </c>
      <c r="K341">
        <v>164.4</v>
      </c>
      <c r="L341">
        <v>119.2</v>
      </c>
      <c r="M341">
        <v>191.8</v>
      </c>
      <c r="N341">
        <v>174.5</v>
      </c>
      <c r="O341">
        <v>183.1</v>
      </c>
      <c r="P341" s="1">
        <f t="shared" si="25"/>
        <v>2078</v>
      </c>
      <c r="Q341">
        <v>172.5</v>
      </c>
      <c r="R341">
        <v>193.2</v>
      </c>
      <c r="S341" s="1">
        <f t="shared" si="26"/>
        <v>706</v>
      </c>
      <c r="T341">
        <v>182</v>
      </c>
      <c r="U341">
        <v>180.3</v>
      </c>
      <c r="V341" s="1">
        <f t="shared" si="27"/>
        <v>544</v>
      </c>
      <c r="W341">
        <v>181.7</v>
      </c>
      <c r="X341">
        <v>167.8</v>
      </c>
      <c r="Y341" s="1">
        <f t="shared" si="28"/>
        <v>339.1</v>
      </c>
      <c r="Z341">
        <v>179.6</v>
      </c>
      <c r="AA341">
        <v>171.3</v>
      </c>
      <c r="AB341">
        <v>178.8</v>
      </c>
      <c r="AC341">
        <v>166.3</v>
      </c>
      <c r="AD341">
        <v>168.6</v>
      </c>
      <c r="AE341">
        <v>174.7</v>
      </c>
      <c r="AF341">
        <v>169.7</v>
      </c>
      <c r="AG341">
        <v>171.8</v>
      </c>
      <c r="AH341">
        <v>174.3</v>
      </c>
      <c r="AI341">
        <f>SUM('Cleaned Data'!AC341,'Cleaned Data'!AE341,'Cleaned Data'!Z341,'Cleaned Data'!AA341)</f>
        <v>691.90000000000009</v>
      </c>
      <c r="AJ341" s="1">
        <f t="shared" si="29"/>
        <v>172.97499999999999</v>
      </c>
    </row>
    <row r="342" spans="1:36">
      <c r="A342" t="s">
        <v>94</v>
      </c>
      <c r="B342">
        <v>2022</v>
      </c>
      <c r="C342" t="s">
        <v>25</v>
      </c>
      <c r="D342">
        <v>159.30000000000001</v>
      </c>
      <c r="E342">
        <v>217.1</v>
      </c>
      <c r="F342">
        <v>176.6</v>
      </c>
      <c r="G342">
        <v>167.1</v>
      </c>
      <c r="H342">
        <v>184.8</v>
      </c>
      <c r="I342">
        <v>179.5</v>
      </c>
      <c r="J342">
        <v>208.5</v>
      </c>
      <c r="K342">
        <v>164</v>
      </c>
      <c r="L342">
        <v>121.5</v>
      </c>
      <c r="M342">
        <v>186.3</v>
      </c>
      <c r="N342">
        <v>159.80000000000001</v>
      </c>
      <c r="O342">
        <v>187.7</v>
      </c>
      <c r="P342" s="1">
        <f t="shared" si="25"/>
        <v>2131.7999999999997</v>
      </c>
      <c r="Q342">
        <v>179.4</v>
      </c>
      <c r="R342">
        <v>198.6</v>
      </c>
      <c r="S342" s="1">
        <f t="shared" si="26"/>
        <v>692.8</v>
      </c>
      <c r="T342">
        <v>172.7</v>
      </c>
      <c r="U342">
        <v>158.69999999999999</v>
      </c>
      <c r="V342" s="1">
        <f t="shared" si="27"/>
        <v>502</v>
      </c>
      <c r="W342">
        <v>170.6</v>
      </c>
      <c r="X342">
        <v>167.8</v>
      </c>
      <c r="Y342" s="1">
        <f t="shared" si="28"/>
        <v>330.9</v>
      </c>
      <c r="Z342">
        <v>179.5</v>
      </c>
      <c r="AA342">
        <v>163.1</v>
      </c>
      <c r="AB342">
        <v>171.7</v>
      </c>
      <c r="AC342">
        <v>157.4</v>
      </c>
      <c r="AD342">
        <v>164.6</v>
      </c>
      <c r="AE342">
        <v>169.1</v>
      </c>
      <c r="AF342">
        <v>169.8</v>
      </c>
      <c r="AG342">
        <v>164.7</v>
      </c>
      <c r="AH342">
        <v>172.3</v>
      </c>
      <c r="AI342">
        <f>SUM('Cleaned Data'!AC342,'Cleaned Data'!AE342,'Cleaned Data'!Z342,'Cleaned Data'!AA342)</f>
        <v>669.1</v>
      </c>
      <c r="AJ342" s="1">
        <f t="shared" si="29"/>
        <v>167.27500000000001</v>
      </c>
    </row>
    <row r="343" spans="1:36">
      <c r="A343" t="s">
        <v>6</v>
      </c>
      <c r="B343">
        <v>2022</v>
      </c>
      <c r="C343" t="s">
        <v>25</v>
      </c>
      <c r="D343">
        <v>156.5</v>
      </c>
      <c r="E343">
        <v>213</v>
      </c>
      <c r="F343">
        <v>175.2</v>
      </c>
      <c r="G343">
        <v>166.6</v>
      </c>
      <c r="H343">
        <v>195.8</v>
      </c>
      <c r="I343">
        <v>174.2</v>
      </c>
      <c r="J343">
        <v>182.1</v>
      </c>
      <c r="K343">
        <v>164.3</v>
      </c>
      <c r="L343">
        <v>120</v>
      </c>
      <c r="M343">
        <v>190</v>
      </c>
      <c r="N343">
        <v>168.4</v>
      </c>
      <c r="O343">
        <v>185.2</v>
      </c>
      <c r="P343" s="1">
        <f t="shared" si="25"/>
        <v>2097.8999999999996</v>
      </c>
      <c r="Q343">
        <v>175</v>
      </c>
      <c r="R343">
        <v>194.6</v>
      </c>
      <c r="S343" s="1">
        <f t="shared" si="26"/>
        <v>699</v>
      </c>
      <c r="T343">
        <v>178.3</v>
      </c>
      <c r="U343">
        <v>171.3</v>
      </c>
      <c r="V343" s="1">
        <f t="shared" si="27"/>
        <v>526.90000000000009</v>
      </c>
      <c r="W343">
        <v>177.3</v>
      </c>
      <c r="X343">
        <v>167.8</v>
      </c>
      <c r="Y343" s="1">
        <f t="shared" si="28"/>
        <v>335.20000000000005</v>
      </c>
      <c r="Z343">
        <v>179.6</v>
      </c>
      <c r="AA343">
        <v>167.4</v>
      </c>
      <c r="AB343">
        <v>176.1</v>
      </c>
      <c r="AC343">
        <v>161.6</v>
      </c>
      <c r="AD343">
        <v>166.3</v>
      </c>
      <c r="AE343">
        <v>171.4</v>
      </c>
      <c r="AF343">
        <v>169.7</v>
      </c>
      <c r="AG343">
        <v>168.4</v>
      </c>
      <c r="AH343">
        <v>173.4</v>
      </c>
      <c r="AI343">
        <f>SUM('Cleaned Data'!AC343,'Cleaned Data'!AE343,'Cleaned Data'!Z343,'Cleaned Data'!AA343)</f>
        <v>680</v>
      </c>
      <c r="AJ343" s="1">
        <f t="shared" si="29"/>
        <v>170</v>
      </c>
    </row>
    <row r="344" spans="1:36">
      <c r="A344" t="s">
        <v>93</v>
      </c>
      <c r="B344">
        <v>2022</v>
      </c>
      <c r="C344" t="s">
        <v>27</v>
      </c>
      <c r="D344">
        <v>159.5</v>
      </c>
      <c r="E344">
        <v>204.1</v>
      </c>
      <c r="F344">
        <v>168.3</v>
      </c>
      <c r="G344">
        <v>167.9</v>
      </c>
      <c r="H344">
        <v>198.1</v>
      </c>
      <c r="I344">
        <v>169.2</v>
      </c>
      <c r="J344">
        <v>173.1</v>
      </c>
      <c r="K344">
        <v>167.1</v>
      </c>
      <c r="L344">
        <v>120.2</v>
      </c>
      <c r="M344">
        <v>195.6</v>
      </c>
      <c r="N344">
        <v>174.8</v>
      </c>
      <c r="O344">
        <v>184</v>
      </c>
      <c r="P344" s="1">
        <f t="shared" si="25"/>
        <v>2081</v>
      </c>
      <c r="Q344">
        <v>173.9</v>
      </c>
      <c r="R344">
        <v>193.7</v>
      </c>
      <c r="S344" s="1">
        <f t="shared" si="26"/>
        <v>708.9</v>
      </c>
      <c r="T344">
        <v>183.2</v>
      </c>
      <c r="U344">
        <v>181.7</v>
      </c>
      <c r="V344" s="1">
        <f t="shared" si="27"/>
        <v>547.9</v>
      </c>
      <c r="W344">
        <v>183</v>
      </c>
      <c r="X344">
        <v>169</v>
      </c>
      <c r="Y344" s="1">
        <f t="shared" si="28"/>
        <v>341.3</v>
      </c>
      <c r="Z344">
        <v>179.1</v>
      </c>
      <c r="AA344">
        <v>172.3</v>
      </c>
      <c r="AB344">
        <v>179.4</v>
      </c>
      <c r="AC344">
        <v>166.6</v>
      </c>
      <c r="AD344">
        <v>169.3</v>
      </c>
      <c r="AE344">
        <v>175.7</v>
      </c>
      <c r="AF344">
        <v>171.1</v>
      </c>
      <c r="AG344">
        <v>172.6</v>
      </c>
      <c r="AH344">
        <v>175.3</v>
      </c>
      <c r="AI344">
        <f>SUM('Cleaned Data'!AC344,'Cleaned Data'!AE344,'Cleaned Data'!Z344,'Cleaned Data'!AA344)</f>
        <v>693.7</v>
      </c>
      <c r="AJ344" s="1">
        <f t="shared" si="29"/>
        <v>173.42499999999998</v>
      </c>
    </row>
    <row r="345" spans="1:36">
      <c r="A345" t="s">
        <v>94</v>
      </c>
      <c r="B345">
        <v>2022</v>
      </c>
      <c r="C345" t="s">
        <v>27</v>
      </c>
      <c r="D345">
        <v>162.1</v>
      </c>
      <c r="E345">
        <v>210.9</v>
      </c>
      <c r="F345">
        <v>170.6</v>
      </c>
      <c r="G345">
        <v>168.4</v>
      </c>
      <c r="H345">
        <v>182.5</v>
      </c>
      <c r="I345">
        <v>177.1</v>
      </c>
      <c r="J345">
        <v>213.1</v>
      </c>
      <c r="K345">
        <v>167.3</v>
      </c>
      <c r="L345">
        <v>122.2</v>
      </c>
      <c r="M345">
        <v>189.7</v>
      </c>
      <c r="N345">
        <v>160.5</v>
      </c>
      <c r="O345">
        <v>188.9</v>
      </c>
      <c r="P345" s="1">
        <f t="shared" si="25"/>
        <v>2133.1999999999998</v>
      </c>
      <c r="Q345">
        <v>180.4</v>
      </c>
      <c r="R345">
        <v>198.7</v>
      </c>
      <c r="S345" s="1">
        <f t="shared" si="26"/>
        <v>695.69999999999993</v>
      </c>
      <c r="T345">
        <v>173.7</v>
      </c>
      <c r="U345">
        <v>160</v>
      </c>
      <c r="V345" s="1">
        <f t="shared" si="27"/>
        <v>505.29999999999995</v>
      </c>
      <c r="W345">
        <v>171.6</v>
      </c>
      <c r="X345">
        <v>169</v>
      </c>
      <c r="Y345" s="1">
        <f t="shared" si="28"/>
        <v>333.2</v>
      </c>
      <c r="Z345">
        <v>178.4</v>
      </c>
      <c r="AA345">
        <v>164.2</v>
      </c>
      <c r="AB345">
        <v>172.6</v>
      </c>
      <c r="AC345">
        <v>157.69999999999999</v>
      </c>
      <c r="AD345">
        <v>165.1</v>
      </c>
      <c r="AE345">
        <v>169.9</v>
      </c>
      <c r="AF345">
        <v>171.4</v>
      </c>
      <c r="AG345">
        <v>165.4</v>
      </c>
      <c r="AH345">
        <v>173.1</v>
      </c>
      <c r="AI345">
        <f>SUM('Cleaned Data'!AC345,'Cleaned Data'!AE345,'Cleaned Data'!Z345,'Cleaned Data'!AA345)</f>
        <v>670.2</v>
      </c>
      <c r="AJ345" s="1">
        <f t="shared" si="29"/>
        <v>167.55</v>
      </c>
    </row>
    <row r="346" spans="1:36">
      <c r="A346" t="s">
        <v>6</v>
      </c>
      <c r="B346">
        <v>2022</v>
      </c>
      <c r="C346" t="s">
        <v>27</v>
      </c>
      <c r="D346">
        <v>160.30000000000001</v>
      </c>
      <c r="E346">
        <v>206.5</v>
      </c>
      <c r="F346">
        <v>169.2</v>
      </c>
      <c r="G346">
        <v>168.1</v>
      </c>
      <c r="H346">
        <v>192.4</v>
      </c>
      <c r="I346">
        <v>172.9</v>
      </c>
      <c r="J346">
        <v>186.7</v>
      </c>
      <c r="K346">
        <v>167.2</v>
      </c>
      <c r="L346">
        <v>120.9</v>
      </c>
      <c r="M346">
        <v>193.6</v>
      </c>
      <c r="N346">
        <v>168.8</v>
      </c>
      <c r="O346">
        <v>186.3</v>
      </c>
      <c r="P346" s="1">
        <f t="shared" si="25"/>
        <v>2100.4</v>
      </c>
      <c r="Q346">
        <v>176.3</v>
      </c>
      <c r="R346">
        <v>195</v>
      </c>
      <c r="S346" s="1">
        <f t="shared" si="26"/>
        <v>701.90000000000009</v>
      </c>
      <c r="T346">
        <v>179.5</v>
      </c>
      <c r="U346">
        <v>172.7</v>
      </c>
      <c r="V346" s="1">
        <f t="shared" si="27"/>
        <v>530.70000000000005</v>
      </c>
      <c r="W346">
        <v>178.5</v>
      </c>
      <c r="X346">
        <v>169</v>
      </c>
      <c r="Y346" s="1">
        <f t="shared" si="28"/>
        <v>337.5</v>
      </c>
      <c r="Z346">
        <v>178.8</v>
      </c>
      <c r="AA346">
        <v>168.5</v>
      </c>
      <c r="AB346">
        <v>176.8</v>
      </c>
      <c r="AC346">
        <v>161.9</v>
      </c>
      <c r="AD346">
        <v>166.9</v>
      </c>
      <c r="AE346">
        <v>172.3</v>
      </c>
      <c r="AF346">
        <v>171.2</v>
      </c>
      <c r="AG346">
        <v>169.1</v>
      </c>
      <c r="AH346">
        <v>174.3</v>
      </c>
      <c r="AI346">
        <f>SUM('Cleaned Data'!AC346,'Cleaned Data'!AE346,'Cleaned Data'!Z346,'Cleaned Data'!AA346)</f>
        <v>681.5</v>
      </c>
      <c r="AJ346" s="1">
        <f t="shared" si="29"/>
        <v>170.375</v>
      </c>
    </row>
    <row r="347" spans="1:36">
      <c r="A347" t="s">
        <v>93</v>
      </c>
      <c r="B347">
        <v>2022</v>
      </c>
      <c r="C347" t="s">
        <v>29</v>
      </c>
      <c r="D347">
        <v>162.9</v>
      </c>
      <c r="E347">
        <v>206.7</v>
      </c>
      <c r="F347">
        <v>169</v>
      </c>
      <c r="G347">
        <v>169.5</v>
      </c>
      <c r="H347">
        <v>194.1</v>
      </c>
      <c r="I347">
        <v>164.1</v>
      </c>
      <c r="J347">
        <v>176.9</v>
      </c>
      <c r="K347">
        <v>169</v>
      </c>
      <c r="L347">
        <v>120.8</v>
      </c>
      <c r="M347">
        <v>199.1</v>
      </c>
      <c r="N347">
        <v>175.4</v>
      </c>
      <c r="O347">
        <v>184.8</v>
      </c>
      <c r="P347" s="1">
        <f t="shared" si="25"/>
        <v>2092.4</v>
      </c>
      <c r="Q347">
        <v>175.5</v>
      </c>
      <c r="R347">
        <v>194.5</v>
      </c>
      <c r="S347" s="1">
        <f t="shared" si="26"/>
        <v>710.7</v>
      </c>
      <c r="T347">
        <v>184.7</v>
      </c>
      <c r="U347">
        <v>183.3</v>
      </c>
      <c r="V347" s="1">
        <f t="shared" si="27"/>
        <v>552.5</v>
      </c>
      <c r="W347">
        <v>184.5</v>
      </c>
      <c r="X347">
        <v>169.5</v>
      </c>
      <c r="Y347" s="1">
        <f t="shared" si="28"/>
        <v>343.1</v>
      </c>
      <c r="Z347">
        <v>179.7</v>
      </c>
      <c r="AA347">
        <v>173.6</v>
      </c>
      <c r="AB347">
        <v>180.2</v>
      </c>
      <c r="AC347">
        <v>166.9</v>
      </c>
      <c r="AD347">
        <v>170</v>
      </c>
      <c r="AE347">
        <v>176.2</v>
      </c>
      <c r="AF347">
        <v>170.8</v>
      </c>
      <c r="AG347">
        <v>173.1</v>
      </c>
      <c r="AH347">
        <v>176.4</v>
      </c>
      <c r="AI347">
        <f>SUM('Cleaned Data'!AC347,'Cleaned Data'!AE347,'Cleaned Data'!Z347,'Cleaned Data'!AA347)</f>
        <v>696.4</v>
      </c>
      <c r="AJ347" s="1">
        <f t="shared" si="29"/>
        <v>174.10000000000002</v>
      </c>
    </row>
    <row r="348" spans="1:36">
      <c r="A348" t="s">
        <v>94</v>
      </c>
      <c r="B348">
        <v>2022</v>
      </c>
      <c r="C348" t="s">
        <v>29</v>
      </c>
      <c r="D348">
        <v>164.9</v>
      </c>
      <c r="E348">
        <v>213.7</v>
      </c>
      <c r="F348">
        <v>170.9</v>
      </c>
      <c r="G348">
        <v>170.1</v>
      </c>
      <c r="H348">
        <v>179.3</v>
      </c>
      <c r="I348">
        <v>167.5</v>
      </c>
      <c r="J348">
        <v>220.8</v>
      </c>
      <c r="K348">
        <v>169.2</v>
      </c>
      <c r="L348">
        <v>123.1</v>
      </c>
      <c r="M348">
        <v>193.6</v>
      </c>
      <c r="N348">
        <v>161.1</v>
      </c>
      <c r="O348">
        <v>190.4</v>
      </c>
      <c r="P348" s="1">
        <f t="shared" si="25"/>
        <v>2145.3000000000002</v>
      </c>
      <c r="Q348">
        <v>181.8</v>
      </c>
      <c r="R348">
        <v>199.7</v>
      </c>
      <c r="S348" s="1">
        <f t="shared" si="26"/>
        <v>697.69999999999993</v>
      </c>
      <c r="T348">
        <v>175</v>
      </c>
      <c r="U348">
        <v>161.69999999999999</v>
      </c>
      <c r="V348" s="1">
        <f t="shared" si="27"/>
        <v>509.7</v>
      </c>
      <c r="W348">
        <v>173</v>
      </c>
      <c r="X348">
        <v>169.5</v>
      </c>
      <c r="Y348" s="1">
        <f t="shared" si="28"/>
        <v>334.5</v>
      </c>
      <c r="Z348">
        <v>179.2</v>
      </c>
      <c r="AA348">
        <v>165</v>
      </c>
      <c r="AB348">
        <v>173.8</v>
      </c>
      <c r="AC348">
        <v>158.19999999999999</v>
      </c>
      <c r="AD348">
        <v>165.8</v>
      </c>
      <c r="AE348">
        <v>170.9</v>
      </c>
      <c r="AF348">
        <v>171.1</v>
      </c>
      <c r="AG348">
        <v>166.1</v>
      </c>
      <c r="AH348">
        <v>174.1</v>
      </c>
      <c r="AI348">
        <f>SUM('Cleaned Data'!AC348,'Cleaned Data'!AE348,'Cleaned Data'!Z348,'Cleaned Data'!AA348)</f>
        <v>673.3</v>
      </c>
      <c r="AJ348" s="1">
        <f t="shared" si="29"/>
        <v>168.32499999999999</v>
      </c>
    </row>
    <row r="349" spans="1:36">
      <c r="A349" t="s">
        <v>6</v>
      </c>
      <c r="B349">
        <v>2022</v>
      </c>
      <c r="C349" t="s">
        <v>29</v>
      </c>
      <c r="D349">
        <v>163.5</v>
      </c>
      <c r="E349">
        <v>209.2</v>
      </c>
      <c r="F349">
        <v>169.7</v>
      </c>
      <c r="G349">
        <v>169.7</v>
      </c>
      <c r="H349">
        <v>188.7</v>
      </c>
      <c r="I349">
        <v>165.7</v>
      </c>
      <c r="J349">
        <v>191.8</v>
      </c>
      <c r="K349">
        <v>169.1</v>
      </c>
      <c r="L349">
        <v>121.6</v>
      </c>
      <c r="M349">
        <v>197.3</v>
      </c>
      <c r="N349">
        <v>169.4</v>
      </c>
      <c r="O349">
        <v>187.4</v>
      </c>
      <c r="P349" s="1">
        <f t="shared" si="25"/>
        <v>2111.5000000000005</v>
      </c>
      <c r="Q349">
        <v>177.8</v>
      </c>
      <c r="R349">
        <v>195.9</v>
      </c>
      <c r="S349" s="1">
        <f t="shared" si="26"/>
        <v>703.8</v>
      </c>
      <c r="T349">
        <v>180.9</v>
      </c>
      <c r="U349">
        <v>174.3</v>
      </c>
      <c r="V349" s="1">
        <f t="shared" si="27"/>
        <v>535.1</v>
      </c>
      <c r="W349">
        <v>179.9</v>
      </c>
      <c r="X349">
        <v>169.5</v>
      </c>
      <c r="Y349" s="1">
        <f t="shared" si="28"/>
        <v>339</v>
      </c>
      <c r="Z349">
        <v>179.5</v>
      </c>
      <c r="AA349">
        <v>169.5</v>
      </c>
      <c r="AB349">
        <v>177.8</v>
      </c>
      <c r="AC349">
        <v>162.30000000000001</v>
      </c>
      <c r="AD349">
        <v>167.6</v>
      </c>
      <c r="AE349">
        <v>173.1</v>
      </c>
      <c r="AF349">
        <v>170.9</v>
      </c>
      <c r="AG349">
        <v>169.7</v>
      </c>
      <c r="AH349">
        <v>175.3</v>
      </c>
      <c r="AI349">
        <f>SUM('Cleaned Data'!AC349,'Cleaned Data'!AE349,'Cleaned Data'!Z349,'Cleaned Data'!AA349)</f>
        <v>684.4</v>
      </c>
      <c r="AJ349" s="1">
        <f t="shared" si="29"/>
        <v>171.1</v>
      </c>
    </row>
    <row r="350" spans="1:36">
      <c r="A350" t="s">
        <v>93</v>
      </c>
      <c r="B350">
        <v>2022</v>
      </c>
      <c r="C350" t="s">
        <v>31</v>
      </c>
      <c r="D350">
        <v>164.7</v>
      </c>
      <c r="E350">
        <v>208.8</v>
      </c>
      <c r="F350">
        <v>170.3</v>
      </c>
      <c r="G350">
        <v>170.9</v>
      </c>
      <c r="H350">
        <v>191.6</v>
      </c>
      <c r="I350">
        <v>162.19999999999999</v>
      </c>
      <c r="J350">
        <v>184.8</v>
      </c>
      <c r="K350">
        <v>169.7</v>
      </c>
      <c r="L350">
        <v>121.1</v>
      </c>
      <c r="M350">
        <v>201.6</v>
      </c>
      <c r="N350">
        <v>175.8</v>
      </c>
      <c r="O350">
        <v>185.6</v>
      </c>
      <c r="P350" s="1">
        <f t="shared" si="25"/>
        <v>2108.6999999999998</v>
      </c>
      <c r="Q350">
        <v>177.4</v>
      </c>
      <c r="R350">
        <v>194.9</v>
      </c>
      <c r="S350" s="1">
        <f t="shared" si="26"/>
        <v>713.30000000000007</v>
      </c>
      <c r="T350">
        <v>186.1</v>
      </c>
      <c r="U350">
        <v>184.4</v>
      </c>
      <c r="V350" s="1">
        <f t="shared" si="27"/>
        <v>556.4</v>
      </c>
      <c r="W350">
        <v>185.9</v>
      </c>
      <c r="X350">
        <v>171.2</v>
      </c>
      <c r="Y350" s="1">
        <f t="shared" si="28"/>
        <v>345.6</v>
      </c>
      <c r="Z350">
        <v>180.8</v>
      </c>
      <c r="AA350">
        <v>174.4</v>
      </c>
      <c r="AB350">
        <v>181.2</v>
      </c>
      <c r="AC350">
        <v>167.4</v>
      </c>
      <c r="AD350">
        <v>170.6</v>
      </c>
      <c r="AE350">
        <v>176.5</v>
      </c>
      <c r="AF350">
        <v>172</v>
      </c>
      <c r="AG350">
        <v>173.9</v>
      </c>
      <c r="AH350">
        <v>177.9</v>
      </c>
      <c r="AI350">
        <f>SUM('Cleaned Data'!AC350,'Cleaned Data'!AE350,'Cleaned Data'!Z350,'Cleaned Data'!AA350)</f>
        <v>699.1</v>
      </c>
      <c r="AJ350" s="1">
        <f t="shared" si="29"/>
        <v>174.77499999999998</v>
      </c>
    </row>
    <row r="351" spans="1:36">
      <c r="A351" t="s">
        <v>94</v>
      </c>
      <c r="B351">
        <v>2022</v>
      </c>
      <c r="C351" t="s">
        <v>31</v>
      </c>
      <c r="D351">
        <v>166.4</v>
      </c>
      <c r="E351">
        <v>214.9</v>
      </c>
      <c r="F351">
        <v>171.9</v>
      </c>
      <c r="G351">
        <v>171</v>
      </c>
      <c r="H351">
        <v>177.7</v>
      </c>
      <c r="I351">
        <v>165.7</v>
      </c>
      <c r="J351">
        <v>228.6</v>
      </c>
      <c r="K351">
        <v>169.9</v>
      </c>
      <c r="L351">
        <v>123.4</v>
      </c>
      <c r="M351">
        <v>196.4</v>
      </c>
      <c r="N351">
        <v>161.6</v>
      </c>
      <c r="O351">
        <v>191.5</v>
      </c>
      <c r="P351" s="1">
        <f t="shared" si="25"/>
        <v>2160.7000000000003</v>
      </c>
      <c r="Q351">
        <v>183.3</v>
      </c>
      <c r="R351">
        <v>200.1</v>
      </c>
      <c r="S351" s="1">
        <f t="shared" si="26"/>
        <v>700.3</v>
      </c>
      <c r="T351">
        <v>175.5</v>
      </c>
      <c r="U351">
        <v>162.6</v>
      </c>
      <c r="V351" s="1">
        <f t="shared" si="27"/>
        <v>511.70000000000005</v>
      </c>
      <c r="W351">
        <v>173.6</v>
      </c>
      <c r="X351">
        <v>171.2</v>
      </c>
      <c r="Y351" s="1">
        <f t="shared" si="28"/>
        <v>337.2</v>
      </c>
      <c r="Z351">
        <v>180</v>
      </c>
      <c r="AA351">
        <v>166</v>
      </c>
      <c r="AB351">
        <v>174.7</v>
      </c>
      <c r="AC351">
        <v>158.80000000000001</v>
      </c>
      <c r="AD351">
        <v>166.3</v>
      </c>
      <c r="AE351">
        <v>171.2</v>
      </c>
      <c r="AF351">
        <v>172.3</v>
      </c>
      <c r="AG351">
        <v>166.8</v>
      </c>
      <c r="AH351">
        <v>175.3</v>
      </c>
      <c r="AI351">
        <f>SUM('Cleaned Data'!AC351,'Cleaned Data'!AE351,'Cleaned Data'!Z351,'Cleaned Data'!AA351)</f>
        <v>676</v>
      </c>
      <c r="AJ351" s="1">
        <f t="shared" si="29"/>
        <v>169</v>
      </c>
    </row>
    <row r="352" spans="1:36">
      <c r="A352" t="s">
        <v>6</v>
      </c>
      <c r="B352">
        <v>2022</v>
      </c>
      <c r="C352" t="s">
        <v>31</v>
      </c>
      <c r="D352">
        <v>165.2</v>
      </c>
      <c r="E352">
        <v>210.9</v>
      </c>
      <c r="F352">
        <v>170.9</v>
      </c>
      <c r="G352">
        <v>170.9</v>
      </c>
      <c r="H352">
        <v>186.5</v>
      </c>
      <c r="I352">
        <v>163.80000000000001</v>
      </c>
      <c r="J352">
        <v>199.7</v>
      </c>
      <c r="K352">
        <v>169.8</v>
      </c>
      <c r="L352">
        <v>121.9</v>
      </c>
      <c r="M352">
        <v>199.9</v>
      </c>
      <c r="N352">
        <v>169.9</v>
      </c>
      <c r="O352">
        <v>188.3</v>
      </c>
      <c r="P352" s="1">
        <f t="shared" si="25"/>
        <v>2127.4000000000005</v>
      </c>
      <c r="Q352">
        <v>179.6</v>
      </c>
      <c r="R352">
        <v>196.3</v>
      </c>
      <c r="S352" s="1">
        <f t="shared" si="26"/>
        <v>706.50000000000011</v>
      </c>
      <c r="T352">
        <v>181.9</v>
      </c>
      <c r="U352">
        <v>175.3</v>
      </c>
      <c r="V352" s="1">
        <f t="shared" si="27"/>
        <v>538.20000000000005</v>
      </c>
      <c r="W352">
        <v>181</v>
      </c>
      <c r="X352">
        <v>171.2</v>
      </c>
      <c r="Y352" s="1">
        <f t="shared" si="28"/>
        <v>341.6</v>
      </c>
      <c r="Z352">
        <v>180.5</v>
      </c>
      <c r="AA352">
        <v>170.4</v>
      </c>
      <c r="AB352">
        <v>178.7</v>
      </c>
      <c r="AC352">
        <v>162.9</v>
      </c>
      <c r="AD352">
        <v>168.2</v>
      </c>
      <c r="AE352">
        <v>173.4</v>
      </c>
      <c r="AF352">
        <v>172.1</v>
      </c>
      <c r="AG352">
        <v>170.5</v>
      </c>
      <c r="AH352">
        <v>176.7</v>
      </c>
      <c r="AI352">
        <f>SUM('Cleaned Data'!AC352,'Cleaned Data'!AE352,'Cleaned Data'!Z352,'Cleaned Data'!AA352)</f>
        <v>687.19999999999993</v>
      </c>
      <c r="AJ352" s="1">
        <f t="shared" si="29"/>
        <v>171.8</v>
      </c>
    </row>
    <row r="353" spans="1:36">
      <c r="A353" t="s">
        <v>93</v>
      </c>
      <c r="B353">
        <v>2022</v>
      </c>
      <c r="C353" t="s">
        <v>33</v>
      </c>
      <c r="D353">
        <v>166.9</v>
      </c>
      <c r="E353">
        <v>207.2</v>
      </c>
      <c r="F353">
        <v>180.2</v>
      </c>
      <c r="G353">
        <v>172.3</v>
      </c>
      <c r="H353">
        <v>194</v>
      </c>
      <c r="I353">
        <v>159.1</v>
      </c>
      <c r="J353">
        <v>171.6</v>
      </c>
      <c r="K353">
        <v>170.2</v>
      </c>
      <c r="L353">
        <v>121.5</v>
      </c>
      <c r="M353">
        <v>204.8</v>
      </c>
      <c r="N353">
        <v>176.4</v>
      </c>
      <c r="O353">
        <v>186.9</v>
      </c>
      <c r="P353" s="1">
        <f t="shared" si="25"/>
        <v>2111.3000000000002</v>
      </c>
      <c r="Q353">
        <v>176.6</v>
      </c>
      <c r="R353">
        <v>195.5</v>
      </c>
      <c r="S353" s="1">
        <f t="shared" si="26"/>
        <v>716.1</v>
      </c>
      <c r="T353">
        <v>187.2</v>
      </c>
      <c r="U353">
        <v>185.2</v>
      </c>
      <c r="V353" s="1">
        <f t="shared" si="27"/>
        <v>559.29999999999995</v>
      </c>
      <c r="W353">
        <v>186.9</v>
      </c>
      <c r="X353">
        <v>171.8</v>
      </c>
      <c r="Y353" s="1">
        <f t="shared" si="28"/>
        <v>347.3</v>
      </c>
      <c r="Z353">
        <v>181.9</v>
      </c>
      <c r="AA353">
        <v>175.5</v>
      </c>
      <c r="AB353">
        <v>182.3</v>
      </c>
      <c r="AC353">
        <v>167.5</v>
      </c>
      <c r="AD353">
        <v>170.8</v>
      </c>
      <c r="AE353">
        <v>176.9</v>
      </c>
      <c r="AF353">
        <v>173.4</v>
      </c>
      <c r="AG353">
        <v>174.6</v>
      </c>
      <c r="AH353">
        <v>177.8</v>
      </c>
      <c r="AI353">
        <f>SUM('Cleaned Data'!AC353,'Cleaned Data'!AE353,'Cleaned Data'!Z353,'Cleaned Data'!AA353)</f>
        <v>701.8</v>
      </c>
      <c r="AJ353" s="1">
        <f t="shared" si="29"/>
        <v>175.45</v>
      </c>
    </row>
    <row r="354" spans="1:36">
      <c r="A354" t="s">
        <v>94</v>
      </c>
      <c r="B354">
        <v>2022</v>
      </c>
      <c r="C354" t="s">
        <v>33</v>
      </c>
      <c r="D354">
        <v>168.4</v>
      </c>
      <c r="E354">
        <v>213.4</v>
      </c>
      <c r="F354">
        <v>183.2</v>
      </c>
      <c r="G354">
        <v>172.3</v>
      </c>
      <c r="H354">
        <v>180</v>
      </c>
      <c r="I354">
        <v>162.6</v>
      </c>
      <c r="J354">
        <v>205.5</v>
      </c>
      <c r="K354">
        <v>171</v>
      </c>
      <c r="L354">
        <v>123.4</v>
      </c>
      <c r="M354">
        <v>198.8</v>
      </c>
      <c r="N354">
        <v>162.1</v>
      </c>
      <c r="O354">
        <v>192.4</v>
      </c>
      <c r="P354" s="1">
        <f t="shared" si="25"/>
        <v>2152.3000000000002</v>
      </c>
      <c r="Q354">
        <v>181.3</v>
      </c>
      <c r="R354">
        <v>200.6</v>
      </c>
      <c r="S354" s="1">
        <f t="shared" si="26"/>
        <v>703.2</v>
      </c>
      <c r="T354">
        <v>176.7</v>
      </c>
      <c r="U354">
        <v>163.5</v>
      </c>
      <c r="V354" s="1">
        <f t="shared" si="27"/>
        <v>514.9</v>
      </c>
      <c r="W354">
        <v>174.7</v>
      </c>
      <c r="X354">
        <v>171.8</v>
      </c>
      <c r="Y354" s="1">
        <f t="shared" si="28"/>
        <v>338.70000000000005</v>
      </c>
      <c r="Z354">
        <v>180.3</v>
      </c>
      <c r="AA354">
        <v>166.9</v>
      </c>
      <c r="AB354">
        <v>175.8</v>
      </c>
      <c r="AC354">
        <v>158.9</v>
      </c>
      <c r="AD354">
        <v>166.7</v>
      </c>
      <c r="AE354">
        <v>171.5</v>
      </c>
      <c r="AF354">
        <v>173.8</v>
      </c>
      <c r="AG354">
        <v>167.4</v>
      </c>
      <c r="AH354">
        <v>174.1</v>
      </c>
      <c r="AI354">
        <f>SUM('Cleaned Data'!AC354,'Cleaned Data'!AE354,'Cleaned Data'!Z354,'Cleaned Data'!AA354)</f>
        <v>677.6</v>
      </c>
      <c r="AJ354" s="1">
        <f t="shared" si="29"/>
        <v>169.39999999999998</v>
      </c>
    </row>
    <row r="355" spans="1:36">
      <c r="A355" t="s">
        <v>6</v>
      </c>
      <c r="B355">
        <v>2022</v>
      </c>
      <c r="C355" t="s">
        <v>33</v>
      </c>
      <c r="D355">
        <v>167.4</v>
      </c>
      <c r="E355">
        <v>209.4</v>
      </c>
      <c r="F355">
        <v>181.4</v>
      </c>
      <c r="G355">
        <v>172.3</v>
      </c>
      <c r="H355">
        <v>188.9</v>
      </c>
      <c r="I355">
        <v>160.69999999999999</v>
      </c>
      <c r="J355">
        <v>183.1</v>
      </c>
      <c r="K355">
        <v>170.5</v>
      </c>
      <c r="L355">
        <v>122.1</v>
      </c>
      <c r="M355">
        <v>202.8</v>
      </c>
      <c r="N355">
        <v>170.4</v>
      </c>
      <c r="O355">
        <v>189.5</v>
      </c>
      <c r="P355" s="1">
        <f t="shared" si="25"/>
        <v>2126.4000000000005</v>
      </c>
      <c r="Q355">
        <v>178.3</v>
      </c>
      <c r="R355">
        <v>196.9</v>
      </c>
      <c r="S355" s="1">
        <f t="shared" si="26"/>
        <v>709.4</v>
      </c>
      <c r="T355">
        <v>183.1</v>
      </c>
      <c r="U355">
        <v>176.2</v>
      </c>
      <c r="V355" s="1">
        <f t="shared" si="27"/>
        <v>541.4</v>
      </c>
      <c r="W355">
        <v>182.1</v>
      </c>
      <c r="X355">
        <v>171.8</v>
      </c>
      <c r="Y355" s="1">
        <f t="shared" si="28"/>
        <v>343.20000000000005</v>
      </c>
      <c r="Z355">
        <v>181.3</v>
      </c>
      <c r="AA355">
        <v>171.4</v>
      </c>
      <c r="AB355">
        <v>179.8</v>
      </c>
      <c r="AC355">
        <v>163</v>
      </c>
      <c r="AD355">
        <v>168.5</v>
      </c>
      <c r="AE355">
        <v>173.7</v>
      </c>
      <c r="AF355">
        <v>173.6</v>
      </c>
      <c r="AG355">
        <v>171.1</v>
      </c>
      <c r="AH355">
        <v>176.5</v>
      </c>
      <c r="AI355">
        <f>SUM('Cleaned Data'!AC355,'Cleaned Data'!AE355,'Cleaned Data'!Z355,'Cleaned Data'!AA355)</f>
        <v>689.4</v>
      </c>
      <c r="AJ355" s="1">
        <f t="shared" si="29"/>
        <v>172.35000000000002</v>
      </c>
    </row>
    <row r="356" spans="1:36">
      <c r="A356" t="s">
        <v>93</v>
      </c>
      <c r="B356">
        <v>2022</v>
      </c>
      <c r="C356" t="s">
        <v>35</v>
      </c>
      <c r="D356">
        <v>168.8</v>
      </c>
      <c r="E356">
        <v>206.9</v>
      </c>
      <c r="F356">
        <v>189.1</v>
      </c>
      <c r="G356">
        <v>173.4</v>
      </c>
      <c r="H356">
        <v>193.9</v>
      </c>
      <c r="I356">
        <v>156.69999999999999</v>
      </c>
      <c r="J356">
        <v>150.19999999999999</v>
      </c>
      <c r="K356">
        <v>170.5</v>
      </c>
      <c r="L356">
        <v>121.2</v>
      </c>
      <c r="M356">
        <v>207.5</v>
      </c>
      <c r="N356">
        <v>176.8</v>
      </c>
      <c r="O356">
        <v>187.7</v>
      </c>
      <c r="P356" s="1">
        <f t="shared" si="25"/>
        <v>2100.3000000000002</v>
      </c>
      <c r="Q356">
        <v>174.4</v>
      </c>
      <c r="R356">
        <v>195.9</v>
      </c>
      <c r="S356" s="1">
        <f t="shared" si="26"/>
        <v>719.60000000000014</v>
      </c>
      <c r="T356">
        <v>188.1</v>
      </c>
      <c r="U356">
        <v>185.9</v>
      </c>
      <c r="V356" s="1">
        <f t="shared" si="27"/>
        <v>561.79999999999995</v>
      </c>
      <c r="W356">
        <v>187.8</v>
      </c>
      <c r="X356">
        <v>170.7</v>
      </c>
      <c r="Y356" s="1">
        <f t="shared" si="28"/>
        <v>347.1</v>
      </c>
      <c r="Z356">
        <v>182.8</v>
      </c>
      <c r="AA356">
        <v>176.4</v>
      </c>
      <c r="AB356">
        <v>183.5</v>
      </c>
      <c r="AC356">
        <v>167.8</v>
      </c>
      <c r="AD356">
        <v>171.2</v>
      </c>
      <c r="AE356">
        <v>177.3</v>
      </c>
      <c r="AF356">
        <v>175.7</v>
      </c>
      <c r="AG356">
        <v>175.5</v>
      </c>
      <c r="AH356">
        <v>177.1</v>
      </c>
      <c r="AI356">
        <f>SUM('Cleaned Data'!AC356,'Cleaned Data'!AE356,'Cleaned Data'!Z356,'Cleaned Data'!AA356)</f>
        <v>704.30000000000007</v>
      </c>
      <c r="AJ356" s="1">
        <f t="shared" si="29"/>
        <v>176.07499999999999</v>
      </c>
    </row>
    <row r="357" spans="1:36">
      <c r="A357" t="s">
        <v>94</v>
      </c>
      <c r="B357">
        <v>2022</v>
      </c>
      <c r="C357" t="s">
        <v>35</v>
      </c>
      <c r="D357">
        <v>170.2</v>
      </c>
      <c r="E357">
        <v>212.9</v>
      </c>
      <c r="F357">
        <v>191.9</v>
      </c>
      <c r="G357">
        <v>173.9</v>
      </c>
      <c r="H357">
        <v>179.1</v>
      </c>
      <c r="I357">
        <v>159.5</v>
      </c>
      <c r="J357">
        <v>178.7</v>
      </c>
      <c r="K357">
        <v>171.3</v>
      </c>
      <c r="L357">
        <v>123.1</v>
      </c>
      <c r="M357">
        <v>200.5</v>
      </c>
      <c r="N357">
        <v>162.80000000000001</v>
      </c>
      <c r="O357">
        <v>193.3</v>
      </c>
      <c r="P357" s="1">
        <f t="shared" si="25"/>
        <v>2133.0000000000005</v>
      </c>
      <c r="Q357">
        <v>178.6</v>
      </c>
      <c r="R357">
        <v>201.1</v>
      </c>
      <c r="S357" s="1">
        <f t="shared" si="26"/>
        <v>707</v>
      </c>
      <c r="T357">
        <v>177.7</v>
      </c>
      <c r="U357">
        <v>164.5</v>
      </c>
      <c r="V357" s="1">
        <f t="shared" si="27"/>
        <v>517.9</v>
      </c>
      <c r="W357">
        <v>175.7</v>
      </c>
      <c r="X357">
        <v>170.7</v>
      </c>
      <c r="Y357" s="1">
        <f t="shared" si="28"/>
        <v>338</v>
      </c>
      <c r="Z357">
        <v>180.6</v>
      </c>
      <c r="AA357">
        <v>167.3</v>
      </c>
      <c r="AB357">
        <v>177.2</v>
      </c>
      <c r="AC357">
        <v>159.4</v>
      </c>
      <c r="AD357">
        <v>167.1</v>
      </c>
      <c r="AE357">
        <v>171.8</v>
      </c>
      <c r="AF357">
        <v>176</v>
      </c>
      <c r="AG357">
        <v>168.2</v>
      </c>
      <c r="AH357">
        <v>174.1</v>
      </c>
      <c r="AI357">
        <f>SUM('Cleaned Data'!AC357,'Cleaned Data'!AE357,'Cleaned Data'!Z357,'Cleaned Data'!AA357)</f>
        <v>679.10000000000014</v>
      </c>
      <c r="AJ357" s="1">
        <f t="shared" si="29"/>
        <v>169.77500000000001</v>
      </c>
    </row>
    <row r="358" spans="1:36">
      <c r="A358" t="s">
        <v>6</v>
      </c>
      <c r="B358">
        <v>2022</v>
      </c>
      <c r="C358" t="s">
        <v>35</v>
      </c>
      <c r="D358">
        <v>169.2</v>
      </c>
      <c r="E358">
        <v>209</v>
      </c>
      <c r="F358">
        <v>190.2</v>
      </c>
      <c r="G358">
        <v>173.6</v>
      </c>
      <c r="H358">
        <v>188.5</v>
      </c>
      <c r="I358">
        <v>158</v>
      </c>
      <c r="J358">
        <v>159.9</v>
      </c>
      <c r="K358">
        <v>170.8</v>
      </c>
      <c r="L358">
        <v>121.8</v>
      </c>
      <c r="M358">
        <v>205.2</v>
      </c>
      <c r="N358">
        <v>171</v>
      </c>
      <c r="O358">
        <v>190.3</v>
      </c>
      <c r="P358" s="1">
        <f t="shared" si="25"/>
        <v>2112.4</v>
      </c>
      <c r="Q358">
        <v>175.9</v>
      </c>
      <c r="R358">
        <v>197.3</v>
      </c>
      <c r="S358" s="1">
        <f t="shared" si="26"/>
        <v>713</v>
      </c>
      <c r="T358">
        <v>184</v>
      </c>
      <c r="U358">
        <v>177</v>
      </c>
      <c r="V358" s="1">
        <f t="shared" si="27"/>
        <v>544</v>
      </c>
      <c r="W358">
        <v>183</v>
      </c>
      <c r="X358">
        <v>170.7</v>
      </c>
      <c r="Y358" s="1">
        <f t="shared" si="28"/>
        <v>342.79999999999995</v>
      </c>
      <c r="Z358">
        <v>182</v>
      </c>
      <c r="AA358">
        <v>172.1</v>
      </c>
      <c r="AB358">
        <v>181.1</v>
      </c>
      <c r="AC358">
        <v>163.4</v>
      </c>
      <c r="AD358">
        <v>168.9</v>
      </c>
      <c r="AE358">
        <v>174.1</v>
      </c>
      <c r="AF358">
        <v>175.8</v>
      </c>
      <c r="AG358">
        <v>172</v>
      </c>
      <c r="AH358">
        <v>175.7</v>
      </c>
      <c r="AI358">
        <f>SUM('Cleaned Data'!AC358,'Cleaned Data'!AE358,'Cleaned Data'!Z358,'Cleaned Data'!AA358)</f>
        <v>691.6</v>
      </c>
      <c r="AJ358" s="1">
        <f t="shared" si="29"/>
        <v>172.9</v>
      </c>
    </row>
    <row r="359" spans="1:36">
      <c r="A359" t="s">
        <v>93</v>
      </c>
      <c r="B359">
        <v>2023</v>
      </c>
      <c r="C359" t="s">
        <v>11</v>
      </c>
      <c r="D359">
        <v>174</v>
      </c>
      <c r="E359">
        <v>208.3</v>
      </c>
      <c r="F359">
        <v>192.9</v>
      </c>
      <c r="G359">
        <v>174.3</v>
      </c>
      <c r="H359">
        <v>192.6</v>
      </c>
      <c r="I359">
        <v>156.30000000000001</v>
      </c>
      <c r="J359">
        <v>142.9</v>
      </c>
      <c r="K359">
        <v>170.7</v>
      </c>
      <c r="L359">
        <v>120.3</v>
      </c>
      <c r="M359">
        <v>210.5</v>
      </c>
      <c r="N359">
        <v>176.9</v>
      </c>
      <c r="O359">
        <v>188.5</v>
      </c>
      <c r="P359" s="1">
        <f t="shared" si="25"/>
        <v>2106.3000000000002</v>
      </c>
      <c r="Q359">
        <v>175</v>
      </c>
      <c r="R359">
        <v>196.9</v>
      </c>
      <c r="S359" s="1">
        <f t="shared" si="26"/>
        <v>724</v>
      </c>
      <c r="T359">
        <v>189</v>
      </c>
      <c r="U359">
        <v>186.3</v>
      </c>
      <c r="V359" s="1">
        <f t="shared" si="27"/>
        <v>563.9</v>
      </c>
      <c r="W359">
        <v>188.6</v>
      </c>
      <c r="X359">
        <v>172.1</v>
      </c>
      <c r="Y359" s="1">
        <f t="shared" si="28"/>
        <v>349.29999999999995</v>
      </c>
      <c r="Z359">
        <v>183.2</v>
      </c>
      <c r="AA359">
        <v>177.2</v>
      </c>
      <c r="AB359">
        <v>184.7</v>
      </c>
      <c r="AC359">
        <v>168.2</v>
      </c>
      <c r="AD359">
        <v>171.8</v>
      </c>
      <c r="AE359">
        <v>177.8</v>
      </c>
      <c r="AF359">
        <v>178.4</v>
      </c>
      <c r="AG359">
        <v>176.5</v>
      </c>
      <c r="AH359">
        <v>177.8</v>
      </c>
      <c r="AI359">
        <f>SUM('Cleaned Data'!AC359,'Cleaned Data'!AE359,'Cleaned Data'!Z359,'Cleaned Data'!AA359)</f>
        <v>706.40000000000009</v>
      </c>
      <c r="AJ359" s="1">
        <f t="shared" si="29"/>
        <v>176.60000000000002</v>
      </c>
    </row>
    <row r="360" spans="1:36">
      <c r="A360" t="s">
        <v>94</v>
      </c>
      <c r="B360">
        <v>2023</v>
      </c>
      <c r="C360" t="s">
        <v>11</v>
      </c>
      <c r="D360">
        <v>173.3</v>
      </c>
      <c r="E360">
        <v>215.2</v>
      </c>
      <c r="F360">
        <v>197</v>
      </c>
      <c r="G360">
        <v>175.2</v>
      </c>
      <c r="H360">
        <v>178</v>
      </c>
      <c r="I360">
        <v>160.5</v>
      </c>
      <c r="J360">
        <v>175.3</v>
      </c>
      <c r="K360">
        <v>171.2</v>
      </c>
      <c r="L360">
        <v>122.7</v>
      </c>
      <c r="M360">
        <v>204.3</v>
      </c>
      <c r="N360">
        <v>163.69999999999999</v>
      </c>
      <c r="O360">
        <v>194.3</v>
      </c>
      <c r="P360" s="1">
        <f t="shared" si="25"/>
        <v>2146.5</v>
      </c>
      <c r="Q360">
        <v>179.5</v>
      </c>
      <c r="R360">
        <v>201.6</v>
      </c>
      <c r="S360" s="1">
        <f t="shared" si="26"/>
        <v>711.89999999999986</v>
      </c>
      <c r="T360">
        <v>178.7</v>
      </c>
      <c r="U360">
        <v>165.3</v>
      </c>
      <c r="V360" s="1">
        <f t="shared" si="27"/>
        <v>520.6</v>
      </c>
      <c r="W360">
        <v>176.6</v>
      </c>
      <c r="X360">
        <v>172.1</v>
      </c>
      <c r="Y360" s="1">
        <f t="shared" si="28"/>
        <v>340.1</v>
      </c>
      <c r="Z360">
        <v>180.1</v>
      </c>
      <c r="AA360">
        <v>168</v>
      </c>
      <c r="AB360">
        <v>178.5</v>
      </c>
      <c r="AC360">
        <v>159.5</v>
      </c>
      <c r="AD360">
        <v>167.8</v>
      </c>
      <c r="AE360">
        <v>171.8</v>
      </c>
      <c r="AF360">
        <v>178.8</v>
      </c>
      <c r="AG360">
        <v>168.9</v>
      </c>
      <c r="AH360">
        <v>174.9</v>
      </c>
      <c r="AI360">
        <f>SUM('Cleaned Data'!AC360,'Cleaned Data'!AE360,'Cleaned Data'!Z360,'Cleaned Data'!AA360)</f>
        <v>679.4</v>
      </c>
      <c r="AJ360" s="1">
        <f t="shared" si="29"/>
        <v>169.85</v>
      </c>
    </row>
    <row r="361" spans="1:36">
      <c r="A361" t="s">
        <v>6</v>
      </c>
      <c r="B361">
        <v>2023</v>
      </c>
      <c r="C361" t="s">
        <v>11</v>
      </c>
      <c r="D361">
        <v>173.8</v>
      </c>
      <c r="E361">
        <v>210.7</v>
      </c>
      <c r="F361">
        <v>194.5</v>
      </c>
      <c r="G361">
        <v>174.6</v>
      </c>
      <c r="H361">
        <v>187.2</v>
      </c>
      <c r="I361">
        <v>158.30000000000001</v>
      </c>
      <c r="J361">
        <v>153.9</v>
      </c>
      <c r="K361">
        <v>170.9</v>
      </c>
      <c r="L361">
        <v>121.1</v>
      </c>
      <c r="M361">
        <v>208.4</v>
      </c>
      <c r="N361">
        <v>171.4</v>
      </c>
      <c r="O361">
        <v>191.2</v>
      </c>
      <c r="P361" s="1">
        <f t="shared" si="25"/>
        <v>2121.2999999999997</v>
      </c>
      <c r="Q361">
        <v>176.7</v>
      </c>
      <c r="R361">
        <v>198.2</v>
      </c>
      <c r="S361" s="1">
        <f t="shared" si="26"/>
        <v>717.7</v>
      </c>
      <c r="T361">
        <v>184.9</v>
      </c>
      <c r="U361">
        <v>177.6</v>
      </c>
      <c r="V361" s="1">
        <f t="shared" si="27"/>
        <v>546.29999999999995</v>
      </c>
      <c r="W361">
        <v>183.8</v>
      </c>
      <c r="X361">
        <v>172.1</v>
      </c>
      <c r="Y361" s="1">
        <f t="shared" si="28"/>
        <v>345</v>
      </c>
      <c r="Z361">
        <v>182</v>
      </c>
      <c r="AA361">
        <v>172.9</v>
      </c>
      <c r="AB361">
        <v>182.3</v>
      </c>
      <c r="AC361">
        <v>163.6</v>
      </c>
      <c r="AD361">
        <v>169.5</v>
      </c>
      <c r="AE361">
        <v>174.3</v>
      </c>
      <c r="AF361">
        <v>178.6</v>
      </c>
      <c r="AG361">
        <v>172.8</v>
      </c>
      <c r="AH361">
        <v>176.5</v>
      </c>
      <c r="AI361">
        <f>SUM('Cleaned Data'!AC361,'Cleaned Data'!AE361,'Cleaned Data'!Z361,'Cleaned Data'!AA361)</f>
        <v>692.8</v>
      </c>
      <c r="AJ361" s="1">
        <f t="shared" si="29"/>
        <v>173.2</v>
      </c>
    </row>
    <row r="362" spans="1:36">
      <c r="A362" t="s">
        <v>93</v>
      </c>
      <c r="B362">
        <v>2023</v>
      </c>
      <c r="C362" t="s">
        <v>14</v>
      </c>
      <c r="D362">
        <v>174.2</v>
      </c>
      <c r="E362">
        <v>205.2</v>
      </c>
      <c r="F362">
        <v>173.9</v>
      </c>
      <c r="G362">
        <v>177</v>
      </c>
      <c r="H362">
        <v>183.4</v>
      </c>
      <c r="I362">
        <v>167.2</v>
      </c>
      <c r="J362">
        <v>140.9</v>
      </c>
      <c r="K362">
        <v>170.4</v>
      </c>
      <c r="L362">
        <v>119.1</v>
      </c>
      <c r="M362">
        <v>212.1</v>
      </c>
      <c r="N362">
        <v>177.6</v>
      </c>
      <c r="O362">
        <v>189.9</v>
      </c>
      <c r="P362" s="1">
        <f t="shared" si="25"/>
        <v>2088.1000000000004</v>
      </c>
      <c r="Q362">
        <v>174.8</v>
      </c>
      <c r="R362">
        <v>198.3</v>
      </c>
      <c r="S362" s="1">
        <f t="shared" si="26"/>
        <v>729.40000000000009</v>
      </c>
      <c r="T362">
        <v>190</v>
      </c>
      <c r="U362">
        <v>187</v>
      </c>
      <c r="V362" s="1">
        <f t="shared" si="27"/>
        <v>566.6</v>
      </c>
      <c r="W362">
        <v>189.6</v>
      </c>
      <c r="X362">
        <v>173.5</v>
      </c>
      <c r="Y362" s="1">
        <f t="shared" si="28"/>
        <v>352.1</v>
      </c>
      <c r="Z362">
        <v>181.6</v>
      </c>
      <c r="AA362">
        <v>178.6</v>
      </c>
      <c r="AB362">
        <v>186.6</v>
      </c>
      <c r="AC362">
        <v>169</v>
      </c>
      <c r="AD362">
        <v>172.8</v>
      </c>
      <c r="AE362">
        <v>178.5</v>
      </c>
      <c r="AF362">
        <v>180.7</v>
      </c>
      <c r="AG362">
        <v>177.9</v>
      </c>
      <c r="AH362">
        <v>178</v>
      </c>
      <c r="AI362">
        <f>SUM('Cleaned Data'!AC362,'Cleaned Data'!AE362,'Cleaned Data'!Z362,'Cleaned Data'!AA362)</f>
        <v>707.7</v>
      </c>
      <c r="AJ362" s="1">
        <f t="shared" si="29"/>
        <v>176.92500000000001</v>
      </c>
    </row>
    <row r="363" spans="1:36">
      <c r="A363" t="s">
        <v>94</v>
      </c>
      <c r="B363">
        <v>2023</v>
      </c>
      <c r="C363" t="s">
        <v>14</v>
      </c>
      <c r="D363">
        <v>174.7</v>
      </c>
      <c r="E363">
        <v>212.2</v>
      </c>
      <c r="F363">
        <v>177.2</v>
      </c>
      <c r="G363">
        <v>177.9</v>
      </c>
      <c r="H363">
        <v>172.2</v>
      </c>
      <c r="I363">
        <v>172.1</v>
      </c>
      <c r="J363">
        <v>175.8</v>
      </c>
      <c r="K363">
        <v>172.2</v>
      </c>
      <c r="L363">
        <v>121.9</v>
      </c>
      <c r="M363">
        <v>204.8</v>
      </c>
      <c r="N363">
        <v>164.9</v>
      </c>
      <c r="O363">
        <v>196.6</v>
      </c>
      <c r="P363" s="1">
        <f t="shared" si="25"/>
        <v>2138.3000000000002</v>
      </c>
      <c r="Q363">
        <v>180.7</v>
      </c>
      <c r="R363">
        <v>202.7</v>
      </c>
      <c r="S363" s="1">
        <f t="shared" si="26"/>
        <v>717.4</v>
      </c>
      <c r="T363">
        <v>180.3</v>
      </c>
      <c r="U363">
        <v>167</v>
      </c>
      <c r="V363" s="1">
        <f t="shared" si="27"/>
        <v>525.5</v>
      </c>
      <c r="W363">
        <v>178.2</v>
      </c>
      <c r="X363">
        <v>173.5</v>
      </c>
      <c r="Y363" s="1">
        <f t="shared" si="28"/>
        <v>342.7</v>
      </c>
      <c r="Z363">
        <v>182.8</v>
      </c>
      <c r="AA363">
        <v>169.2</v>
      </c>
      <c r="AB363">
        <v>180.8</v>
      </c>
      <c r="AC363">
        <v>159.80000000000001</v>
      </c>
      <c r="AD363">
        <v>168.4</v>
      </c>
      <c r="AE363">
        <v>172.5</v>
      </c>
      <c r="AF363">
        <v>181.4</v>
      </c>
      <c r="AG363">
        <v>170</v>
      </c>
      <c r="AH363">
        <v>176.3</v>
      </c>
      <c r="AI363">
        <f>SUM('Cleaned Data'!AC363,'Cleaned Data'!AE363,'Cleaned Data'!Z363,'Cleaned Data'!AA363)</f>
        <v>684.3</v>
      </c>
      <c r="AJ363" s="1">
        <f t="shared" si="29"/>
        <v>171.07499999999999</v>
      </c>
    </row>
    <row r="364" spans="1:36">
      <c r="A364" t="s">
        <v>6</v>
      </c>
      <c r="B364">
        <v>2023</v>
      </c>
      <c r="C364" t="s">
        <v>14</v>
      </c>
      <c r="D364">
        <v>174.4</v>
      </c>
      <c r="E364">
        <v>207.7</v>
      </c>
      <c r="F364">
        <v>175.2</v>
      </c>
      <c r="G364">
        <v>177.3</v>
      </c>
      <c r="H364">
        <v>179.3</v>
      </c>
      <c r="I364">
        <v>169.5</v>
      </c>
      <c r="J364">
        <v>152.69999999999999</v>
      </c>
      <c r="K364">
        <v>171</v>
      </c>
      <c r="L364">
        <v>120</v>
      </c>
      <c r="M364">
        <v>209.7</v>
      </c>
      <c r="N364">
        <v>172.3</v>
      </c>
      <c r="O364">
        <v>193</v>
      </c>
      <c r="P364" s="1">
        <f t="shared" si="25"/>
        <v>2106.8000000000002</v>
      </c>
      <c r="Q364">
        <v>177</v>
      </c>
      <c r="R364">
        <v>199.5</v>
      </c>
      <c r="S364" s="1">
        <f t="shared" si="26"/>
        <v>723.1</v>
      </c>
      <c r="T364">
        <v>186.2</v>
      </c>
      <c r="U364">
        <v>178.7</v>
      </c>
      <c r="V364" s="1">
        <f t="shared" si="27"/>
        <v>550</v>
      </c>
      <c r="W364">
        <v>185.1</v>
      </c>
      <c r="X364">
        <v>173.5</v>
      </c>
      <c r="Y364" s="1">
        <f t="shared" si="28"/>
        <v>347.7</v>
      </c>
      <c r="Z364">
        <v>182.1</v>
      </c>
      <c r="AA364">
        <v>174.2</v>
      </c>
      <c r="AB364">
        <v>184.4</v>
      </c>
      <c r="AC364">
        <v>164.2</v>
      </c>
      <c r="AD364">
        <v>170.3</v>
      </c>
      <c r="AE364">
        <v>175</v>
      </c>
      <c r="AF364">
        <v>181</v>
      </c>
      <c r="AG364">
        <v>174.1</v>
      </c>
      <c r="AH364">
        <v>177.2</v>
      </c>
      <c r="AI364">
        <f>SUM('Cleaned Data'!AC364,'Cleaned Data'!AE364,'Cleaned Data'!Z364,'Cleaned Data'!AA364)</f>
        <v>695.5</v>
      </c>
      <c r="AJ364" s="1">
        <f t="shared" si="29"/>
        <v>173.875</v>
      </c>
    </row>
    <row r="365" spans="1:36">
      <c r="A365" t="s">
        <v>93</v>
      </c>
      <c r="B365">
        <v>2023</v>
      </c>
      <c r="C365" t="s">
        <v>17</v>
      </c>
      <c r="D365">
        <v>174.3</v>
      </c>
      <c r="E365">
        <v>205.2</v>
      </c>
      <c r="F365">
        <v>173.9</v>
      </c>
      <c r="G365">
        <v>177</v>
      </c>
      <c r="H365">
        <v>183.3</v>
      </c>
      <c r="I365">
        <v>167.2</v>
      </c>
      <c r="J365">
        <v>140.9</v>
      </c>
      <c r="K365">
        <v>170.5</v>
      </c>
      <c r="L365">
        <v>119.1</v>
      </c>
      <c r="M365">
        <v>212.1</v>
      </c>
      <c r="N365">
        <v>177.6</v>
      </c>
      <c r="O365">
        <v>189.9</v>
      </c>
      <c r="P365" s="1">
        <f t="shared" si="25"/>
        <v>2088.2000000000003</v>
      </c>
      <c r="Q365">
        <v>174.8</v>
      </c>
      <c r="R365">
        <v>198.4</v>
      </c>
      <c r="S365" s="1">
        <f t="shared" si="26"/>
        <v>729.5</v>
      </c>
      <c r="T365">
        <v>190</v>
      </c>
      <c r="U365">
        <v>187</v>
      </c>
      <c r="V365" s="1">
        <f t="shared" si="27"/>
        <v>566.6</v>
      </c>
      <c r="W365">
        <v>189.6</v>
      </c>
      <c r="X365">
        <v>173.5</v>
      </c>
      <c r="Y365" s="1">
        <f t="shared" si="28"/>
        <v>352.1</v>
      </c>
      <c r="Z365">
        <v>181.4</v>
      </c>
      <c r="AA365">
        <v>178.6</v>
      </c>
      <c r="AB365">
        <v>186.6</v>
      </c>
      <c r="AC365">
        <v>169</v>
      </c>
      <c r="AD365">
        <v>172.8</v>
      </c>
      <c r="AE365">
        <v>178.5</v>
      </c>
      <c r="AF365">
        <v>180.7</v>
      </c>
      <c r="AG365">
        <v>177.9</v>
      </c>
      <c r="AH365">
        <v>178</v>
      </c>
      <c r="AI365">
        <f>SUM('Cleaned Data'!AC365,'Cleaned Data'!AE365,'Cleaned Data'!Z365,'Cleaned Data'!AA365)</f>
        <v>707.5</v>
      </c>
      <c r="AJ365" s="1">
        <f t="shared" si="29"/>
        <v>176.875</v>
      </c>
    </row>
    <row r="366" spans="1:36">
      <c r="A366" t="s">
        <v>94</v>
      </c>
      <c r="B366">
        <v>2023</v>
      </c>
      <c r="C366" t="s">
        <v>17</v>
      </c>
      <c r="D366">
        <v>174.7</v>
      </c>
      <c r="E366">
        <v>212.2</v>
      </c>
      <c r="F366">
        <v>177.2</v>
      </c>
      <c r="G366">
        <v>177.9</v>
      </c>
      <c r="H366">
        <v>172.2</v>
      </c>
      <c r="I366">
        <v>172.1</v>
      </c>
      <c r="J366">
        <v>175.9</v>
      </c>
      <c r="K366">
        <v>172.2</v>
      </c>
      <c r="L366">
        <v>121.9</v>
      </c>
      <c r="M366">
        <v>204.8</v>
      </c>
      <c r="N366">
        <v>164.9</v>
      </c>
      <c r="O366">
        <v>196.6</v>
      </c>
      <c r="P366" s="1">
        <f t="shared" si="25"/>
        <v>2138.5000000000005</v>
      </c>
      <c r="Q366">
        <v>180.8</v>
      </c>
      <c r="R366">
        <v>202.7</v>
      </c>
      <c r="S366" s="1">
        <f t="shared" si="26"/>
        <v>717.5</v>
      </c>
      <c r="T366">
        <v>180.2</v>
      </c>
      <c r="U366">
        <v>167</v>
      </c>
      <c r="V366" s="1">
        <f t="shared" si="27"/>
        <v>525.4</v>
      </c>
      <c r="W366">
        <v>178.2</v>
      </c>
      <c r="X366">
        <v>173.5</v>
      </c>
      <c r="Y366" s="1">
        <f t="shared" si="28"/>
        <v>342.7</v>
      </c>
      <c r="Z366">
        <v>182.6</v>
      </c>
      <c r="AA366">
        <v>169.2</v>
      </c>
      <c r="AB366">
        <v>180.8</v>
      </c>
      <c r="AC366">
        <v>159.80000000000001</v>
      </c>
      <c r="AD366">
        <v>168.4</v>
      </c>
      <c r="AE366">
        <v>172.5</v>
      </c>
      <c r="AF366">
        <v>181.5</v>
      </c>
      <c r="AG366">
        <v>170</v>
      </c>
      <c r="AH366">
        <v>176.3</v>
      </c>
      <c r="AI366">
        <f>SUM('Cleaned Data'!AC366,'Cleaned Data'!AE366,'Cleaned Data'!Z366,'Cleaned Data'!AA366)</f>
        <v>684.09999999999991</v>
      </c>
      <c r="AJ366" s="1">
        <f t="shared" si="29"/>
        <v>171.02500000000001</v>
      </c>
    </row>
    <row r="367" spans="1:36">
      <c r="A367" t="s">
        <v>6</v>
      </c>
      <c r="B367">
        <v>2023</v>
      </c>
      <c r="C367" t="s">
        <v>17</v>
      </c>
      <c r="D367">
        <v>174.4</v>
      </c>
      <c r="E367">
        <v>207.7</v>
      </c>
      <c r="F367">
        <v>175.2</v>
      </c>
      <c r="G367">
        <v>177.3</v>
      </c>
      <c r="H367">
        <v>179.2</v>
      </c>
      <c r="I367">
        <v>169.5</v>
      </c>
      <c r="J367">
        <v>152.80000000000001</v>
      </c>
      <c r="K367">
        <v>171.1</v>
      </c>
      <c r="L367">
        <v>120</v>
      </c>
      <c r="M367">
        <v>209.7</v>
      </c>
      <c r="N367">
        <v>172.3</v>
      </c>
      <c r="O367">
        <v>193</v>
      </c>
      <c r="P367" s="1">
        <f t="shared" si="25"/>
        <v>2106.9000000000005</v>
      </c>
      <c r="Q367">
        <v>177</v>
      </c>
      <c r="R367">
        <v>199.5</v>
      </c>
      <c r="S367" s="1">
        <f t="shared" si="26"/>
        <v>723.1</v>
      </c>
      <c r="T367">
        <v>186.1</v>
      </c>
      <c r="U367">
        <v>178.7</v>
      </c>
      <c r="V367" s="1">
        <f t="shared" si="27"/>
        <v>549.9</v>
      </c>
      <c r="W367">
        <v>185.1</v>
      </c>
      <c r="X367">
        <v>173.5</v>
      </c>
      <c r="Y367" s="1">
        <f t="shared" si="28"/>
        <v>347.7</v>
      </c>
      <c r="Z367">
        <v>181.9</v>
      </c>
      <c r="AA367">
        <v>174.2</v>
      </c>
      <c r="AB367">
        <v>184.4</v>
      </c>
      <c r="AC367">
        <v>164.2</v>
      </c>
      <c r="AD367">
        <v>170.3</v>
      </c>
      <c r="AE367">
        <v>175</v>
      </c>
      <c r="AF367">
        <v>181</v>
      </c>
      <c r="AG367">
        <v>174.1</v>
      </c>
      <c r="AH367">
        <v>177.2</v>
      </c>
      <c r="AI367">
        <f>SUM('Cleaned Data'!AC367,'Cleaned Data'!AE367,'Cleaned Data'!Z367,'Cleaned Data'!AA367)</f>
        <v>695.3</v>
      </c>
      <c r="AJ367" s="1">
        <f t="shared" si="29"/>
        <v>173.82499999999999</v>
      </c>
    </row>
    <row r="368" spans="1:36">
      <c r="A368" t="s">
        <v>93</v>
      </c>
      <c r="B368">
        <v>2023</v>
      </c>
      <c r="C368" t="s">
        <v>19</v>
      </c>
      <c r="D368">
        <v>173.3</v>
      </c>
      <c r="E368">
        <v>206.9</v>
      </c>
      <c r="F368">
        <v>167.9</v>
      </c>
      <c r="G368">
        <v>178.2</v>
      </c>
      <c r="H368">
        <v>178.5</v>
      </c>
      <c r="I368">
        <v>173.7</v>
      </c>
      <c r="J368">
        <v>142.80000000000001</v>
      </c>
      <c r="K368">
        <v>172.8</v>
      </c>
      <c r="L368">
        <v>120.4</v>
      </c>
      <c r="M368">
        <v>215.5</v>
      </c>
      <c r="N368">
        <v>178.2</v>
      </c>
      <c r="O368">
        <v>190.5</v>
      </c>
      <c r="P368" s="1">
        <f t="shared" si="25"/>
        <v>2096</v>
      </c>
      <c r="Q368">
        <v>175.5</v>
      </c>
      <c r="R368">
        <v>199.5</v>
      </c>
      <c r="S368" s="1">
        <f t="shared" si="26"/>
        <v>734.7</v>
      </c>
      <c r="T368">
        <v>190.7</v>
      </c>
      <c r="U368">
        <v>187.3</v>
      </c>
      <c r="V368" s="1">
        <f t="shared" si="27"/>
        <v>568.20000000000005</v>
      </c>
      <c r="W368">
        <v>190.2</v>
      </c>
      <c r="X368">
        <v>175.2</v>
      </c>
      <c r="Y368" s="1">
        <f t="shared" si="28"/>
        <v>354.29999999999995</v>
      </c>
      <c r="Z368">
        <v>181.5</v>
      </c>
      <c r="AA368">
        <v>179.1</v>
      </c>
      <c r="AB368">
        <v>187.2</v>
      </c>
      <c r="AC368">
        <v>169.4</v>
      </c>
      <c r="AD368">
        <v>173.2</v>
      </c>
      <c r="AE368">
        <v>179.4</v>
      </c>
      <c r="AF368">
        <v>183.8</v>
      </c>
      <c r="AG368">
        <v>178.9</v>
      </c>
      <c r="AH368">
        <v>178.8</v>
      </c>
      <c r="AI368">
        <f>SUM('Cleaned Data'!AC368,'Cleaned Data'!AE368,'Cleaned Data'!Z368,'Cleaned Data'!AA368)</f>
        <v>709.4</v>
      </c>
      <c r="AJ368" s="1">
        <f t="shared" si="29"/>
        <v>177.35</v>
      </c>
    </row>
    <row r="369" spans="1:36">
      <c r="A369" t="s">
        <v>94</v>
      </c>
      <c r="B369">
        <v>2023</v>
      </c>
      <c r="C369" t="s">
        <v>19</v>
      </c>
      <c r="D369">
        <v>174.8</v>
      </c>
      <c r="E369">
        <v>213.7</v>
      </c>
      <c r="F369">
        <v>172.4</v>
      </c>
      <c r="G369">
        <v>178.8</v>
      </c>
      <c r="H369">
        <v>168.7</v>
      </c>
      <c r="I369">
        <v>179.2</v>
      </c>
      <c r="J369">
        <v>179.9</v>
      </c>
      <c r="K369">
        <v>174.7</v>
      </c>
      <c r="L369">
        <v>123.1</v>
      </c>
      <c r="M369">
        <v>207.8</v>
      </c>
      <c r="N369">
        <v>165.5</v>
      </c>
      <c r="O369">
        <v>197</v>
      </c>
      <c r="P369" s="1">
        <f t="shared" si="25"/>
        <v>2152.1999999999998</v>
      </c>
      <c r="Q369">
        <v>182.1</v>
      </c>
      <c r="R369">
        <v>203.5</v>
      </c>
      <c r="S369" s="1">
        <f t="shared" si="26"/>
        <v>722.19999999999993</v>
      </c>
      <c r="T369">
        <v>181</v>
      </c>
      <c r="U369">
        <v>167.7</v>
      </c>
      <c r="V369" s="1">
        <f t="shared" si="27"/>
        <v>527.6</v>
      </c>
      <c r="W369">
        <v>178.9</v>
      </c>
      <c r="X369">
        <v>175.2</v>
      </c>
      <c r="Y369" s="1">
        <f t="shared" si="28"/>
        <v>344.79999999999995</v>
      </c>
      <c r="Z369">
        <v>182.1</v>
      </c>
      <c r="AA369">
        <v>169.6</v>
      </c>
      <c r="AB369">
        <v>181.5</v>
      </c>
      <c r="AC369">
        <v>160.1</v>
      </c>
      <c r="AD369">
        <v>168.8</v>
      </c>
      <c r="AE369">
        <v>174.2</v>
      </c>
      <c r="AF369">
        <v>184.4</v>
      </c>
      <c r="AG369">
        <v>170.9</v>
      </c>
      <c r="AH369">
        <v>177.4</v>
      </c>
      <c r="AI369">
        <f>SUM('Cleaned Data'!AC369,'Cleaned Data'!AE369,'Cleaned Data'!Z369,'Cleaned Data'!AA369)</f>
        <v>686</v>
      </c>
      <c r="AJ369" s="1">
        <f t="shared" si="29"/>
        <v>171.5</v>
      </c>
    </row>
    <row r="370" spans="1:36">
      <c r="A370" t="s">
        <v>6</v>
      </c>
      <c r="B370">
        <v>2023</v>
      </c>
      <c r="C370" t="s">
        <v>19</v>
      </c>
      <c r="D370">
        <v>173.8</v>
      </c>
      <c r="E370">
        <v>209.3</v>
      </c>
      <c r="F370">
        <v>169.6</v>
      </c>
      <c r="G370">
        <v>178.4</v>
      </c>
      <c r="H370">
        <v>174.9</v>
      </c>
      <c r="I370">
        <v>176.3</v>
      </c>
      <c r="J370">
        <v>155.4</v>
      </c>
      <c r="K370">
        <v>173.4</v>
      </c>
      <c r="L370">
        <v>121.3</v>
      </c>
      <c r="M370">
        <v>212.9</v>
      </c>
      <c r="N370">
        <v>172.9</v>
      </c>
      <c r="O370">
        <v>193.5</v>
      </c>
      <c r="P370" s="1">
        <f t="shared" si="25"/>
        <v>2116.6999999999998</v>
      </c>
      <c r="Q370">
        <v>177.9</v>
      </c>
      <c r="R370">
        <v>200.6</v>
      </c>
      <c r="S370" s="1">
        <f t="shared" si="26"/>
        <v>728.2</v>
      </c>
      <c r="T370">
        <v>186.9</v>
      </c>
      <c r="U370">
        <v>179.2</v>
      </c>
      <c r="V370" s="1">
        <f t="shared" si="27"/>
        <v>551.79999999999995</v>
      </c>
      <c r="W370">
        <v>185.7</v>
      </c>
      <c r="X370">
        <v>175.2</v>
      </c>
      <c r="Y370" s="1">
        <f t="shared" si="28"/>
        <v>349.79999999999995</v>
      </c>
      <c r="Z370">
        <v>181.7</v>
      </c>
      <c r="AA370">
        <v>174.6</v>
      </c>
      <c r="AB370">
        <v>185</v>
      </c>
      <c r="AC370">
        <v>164.5</v>
      </c>
      <c r="AD370">
        <v>170.7</v>
      </c>
      <c r="AE370">
        <v>176.4</v>
      </c>
      <c r="AF370">
        <v>184</v>
      </c>
      <c r="AG370">
        <v>175</v>
      </c>
      <c r="AH370">
        <v>178.1</v>
      </c>
      <c r="AI370">
        <f>SUM('Cleaned Data'!AC370,'Cleaned Data'!AE370,'Cleaned Data'!Z370,'Cleaned Data'!AA370)</f>
        <v>697.19999999999993</v>
      </c>
      <c r="AJ370" s="1">
        <f t="shared" si="29"/>
        <v>174.3</v>
      </c>
    </row>
    <row r="371" spans="1:36">
      <c r="A371" t="s">
        <v>93</v>
      </c>
      <c r="B371">
        <v>2023</v>
      </c>
      <c r="C371" t="s">
        <v>21</v>
      </c>
      <c r="D371">
        <v>173.2</v>
      </c>
      <c r="E371">
        <v>211.5</v>
      </c>
      <c r="F371">
        <v>171</v>
      </c>
      <c r="G371">
        <v>179.6</v>
      </c>
      <c r="H371">
        <v>173.3</v>
      </c>
      <c r="I371">
        <v>169</v>
      </c>
      <c r="J371">
        <v>148.69999999999999</v>
      </c>
      <c r="K371">
        <v>174.9</v>
      </c>
      <c r="L371">
        <v>121.9</v>
      </c>
      <c r="M371">
        <v>221</v>
      </c>
      <c r="N371">
        <v>178.7</v>
      </c>
      <c r="O371">
        <v>191.1</v>
      </c>
      <c r="P371" s="1">
        <f t="shared" si="25"/>
        <v>2112</v>
      </c>
      <c r="Q371">
        <v>176.8</v>
      </c>
      <c r="R371">
        <v>199.9</v>
      </c>
      <c r="S371" s="1">
        <f t="shared" si="26"/>
        <v>737.30000000000007</v>
      </c>
      <c r="T371">
        <v>191.2</v>
      </c>
      <c r="U371">
        <v>187.9</v>
      </c>
      <c r="V371" s="1">
        <f t="shared" si="27"/>
        <v>569.90000000000009</v>
      </c>
      <c r="W371">
        <v>190.8</v>
      </c>
      <c r="X371">
        <v>175.6</v>
      </c>
      <c r="Y371" s="1">
        <f t="shared" si="28"/>
        <v>355.4</v>
      </c>
      <c r="Z371">
        <v>182.5</v>
      </c>
      <c r="AA371">
        <v>179.8</v>
      </c>
      <c r="AB371">
        <v>187.8</v>
      </c>
      <c r="AC371">
        <v>169.7</v>
      </c>
      <c r="AD371">
        <v>173.8</v>
      </c>
      <c r="AE371">
        <v>180.3</v>
      </c>
      <c r="AF371">
        <v>184.9</v>
      </c>
      <c r="AG371">
        <v>179.5</v>
      </c>
      <c r="AH371">
        <v>179.8</v>
      </c>
      <c r="AI371">
        <f>SUM('Cleaned Data'!AC371,'Cleaned Data'!AE371,'Cleaned Data'!Z371,'Cleaned Data'!AA371)</f>
        <v>712.3</v>
      </c>
      <c r="AJ371" s="1">
        <f t="shared" si="29"/>
        <v>178.07499999999999</v>
      </c>
    </row>
    <row r="372" spans="1:36">
      <c r="A372" t="s">
        <v>94</v>
      </c>
      <c r="B372">
        <v>2023</v>
      </c>
      <c r="C372" t="s">
        <v>21</v>
      </c>
      <c r="D372">
        <v>174.7</v>
      </c>
      <c r="E372">
        <v>219.4</v>
      </c>
      <c r="F372">
        <v>176.7</v>
      </c>
      <c r="G372">
        <v>179.4</v>
      </c>
      <c r="H372">
        <v>164.4</v>
      </c>
      <c r="I372">
        <v>175.8</v>
      </c>
      <c r="J372">
        <v>185</v>
      </c>
      <c r="K372">
        <v>176.9</v>
      </c>
      <c r="L372">
        <v>124.2</v>
      </c>
      <c r="M372">
        <v>211.9</v>
      </c>
      <c r="N372">
        <v>165.9</v>
      </c>
      <c r="O372">
        <v>197.7</v>
      </c>
      <c r="P372" s="1">
        <f t="shared" si="25"/>
        <v>2169.2000000000003</v>
      </c>
      <c r="Q372">
        <v>183.1</v>
      </c>
      <c r="R372">
        <v>204.2</v>
      </c>
      <c r="S372" s="1">
        <f t="shared" si="26"/>
        <v>724.9</v>
      </c>
      <c r="T372">
        <v>181.3</v>
      </c>
      <c r="U372">
        <v>168.1</v>
      </c>
      <c r="V372" s="1">
        <f t="shared" si="27"/>
        <v>528.70000000000005</v>
      </c>
      <c r="W372">
        <v>179.3</v>
      </c>
      <c r="X372">
        <v>175.6</v>
      </c>
      <c r="Y372" s="1">
        <f t="shared" si="28"/>
        <v>345.7</v>
      </c>
      <c r="Z372">
        <v>183.4</v>
      </c>
      <c r="AA372">
        <v>170.1</v>
      </c>
      <c r="AB372">
        <v>182.2</v>
      </c>
      <c r="AC372">
        <v>160.4</v>
      </c>
      <c r="AD372">
        <v>169.2</v>
      </c>
      <c r="AE372">
        <v>174.8</v>
      </c>
      <c r="AF372">
        <v>185.6</v>
      </c>
      <c r="AG372">
        <v>171.6</v>
      </c>
      <c r="AH372">
        <v>178.2</v>
      </c>
      <c r="AI372">
        <f>SUM('Cleaned Data'!AC372,'Cleaned Data'!AE372,'Cleaned Data'!Z372,'Cleaned Data'!AA372)</f>
        <v>688.7</v>
      </c>
      <c r="AJ372" s="1">
        <f t="shared" si="29"/>
        <v>172.17500000000001</v>
      </c>
    </row>
    <row r="373" spans="1:36">
      <c r="A373" t="s">
        <v>6</v>
      </c>
      <c r="B373">
        <v>2023</v>
      </c>
      <c r="C373" t="s">
        <v>21</v>
      </c>
      <c r="D373">
        <v>173.7</v>
      </c>
      <c r="E373">
        <v>214.3</v>
      </c>
      <c r="F373">
        <v>173.2</v>
      </c>
      <c r="G373">
        <v>179.5</v>
      </c>
      <c r="H373">
        <v>170</v>
      </c>
      <c r="I373">
        <v>172.2</v>
      </c>
      <c r="J373">
        <v>161</v>
      </c>
      <c r="K373">
        <v>175.6</v>
      </c>
      <c r="L373">
        <v>122.7</v>
      </c>
      <c r="M373">
        <v>218</v>
      </c>
      <c r="N373">
        <v>173.4</v>
      </c>
      <c r="O373">
        <v>194.2</v>
      </c>
      <c r="P373" s="1">
        <f t="shared" si="25"/>
        <v>2133.5</v>
      </c>
      <c r="Q373">
        <v>179.1</v>
      </c>
      <c r="R373">
        <v>201</v>
      </c>
      <c r="S373" s="1">
        <f t="shared" si="26"/>
        <v>730.8</v>
      </c>
      <c r="T373">
        <v>187.3</v>
      </c>
      <c r="U373">
        <v>179.7</v>
      </c>
      <c r="V373" s="1">
        <f t="shared" si="27"/>
        <v>553.20000000000005</v>
      </c>
      <c r="W373">
        <v>186.2</v>
      </c>
      <c r="X373">
        <v>175.6</v>
      </c>
      <c r="Y373" s="1">
        <f t="shared" si="28"/>
        <v>350.79999999999995</v>
      </c>
      <c r="Z373">
        <v>182.8</v>
      </c>
      <c r="AA373">
        <v>175.2</v>
      </c>
      <c r="AB373">
        <v>185.7</v>
      </c>
      <c r="AC373">
        <v>164.8</v>
      </c>
      <c r="AD373">
        <v>171.2</v>
      </c>
      <c r="AE373">
        <v>177.1</v>
      </c>
      <c r="AF373">
        <v>185.2</v>
      </c>
      <c r="AG373">
        <v>175.7</v>
      </c>
      <c r="AH373">
        <v>179.1</v>
      </c>
      <c r="AI373">
        <f>SUM('Cleaned Data'!AC373,'Cleaned Data'!AE373,'Cleaned Data'!Z373,'Cleaned Data'!AA373)</f>
        <v>699.90000000000009</v>
      </c>
      <c r="AJ373" s="1">
        <f t="shared" si="29"/>
        <v>174.97499999999997</v>
      </c>
    </row>
  </sheetData>
  <autoFilter ref="A1:AH3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Story Boarding</vt:lpstr>
      <vt:lpstr>Dashboard</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xone</dc:creator>
  <cp:lastModifiedBy>Sameer xone</cp:lastModifiedBy>
  <dcterms:created xsi:type="dcterms:W3CDTF">2025-01-03T12:31:45Z</dcterms:created>
  <dcterms:modified xsi:type="dcterms:W3CDTF">2026-03-11T06:03:07Z</dcterms:modified>
</cp:coreProperties>
</file>